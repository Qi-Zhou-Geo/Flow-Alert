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qizhou/#python/#GitHub_saved/Flow-Bench/data/manually_labeled_DF/"/>
    </mc:Choice>
  </mc:AlternateContent>
  <xr:revisionPtr revIDLastSave="0" documentId="13_ncr:1_{A1261D4F-67F0-1F45-85BC-951430931C47}" xr6:coauthVersionLast="47" xr6:coauthVersionMax="47" xr10:uidLastSave="{00000000-0000-0000-0000-000000000000}"/>
  <bookViews>
    <workbookView xWindow="0" yWindow="1380" windowWidth="40960" windowHeight="20700" activeTab="4" xr2:uid="{0043E536-1C9D-394E-8ED1-92BEC5123453}"/>
  </bookViews>
  <sheets>
    <sheet name="data-source" sheetId="35" r:id="rId1"/>
    <sheet name="Exotic Seismic Events Query2025" sheetId="36" r:id="rId2"/>
    <sheet name="ESEQ2025-02-23" sheetId="37" r:id="rId3"/>
    <sheet name="2025-02-24" sheetId="40" r:id="rId4"/>
    <sheet name="event-catalog" sheetId="38" r:id="rId5"/>
  </sheets>
  <definedNames>
    <definedName name="_xlnm._FilterDatabase" localSheetId="3" hidden="1">'2025-02-24'!$A$1:$U$39</definedName>
    <definedName name="_xlnm._FilterDatabase" localSheetId="2" hidden="1">'ESEQ2025-02-23'!$A$1:$AB$51</definedName>
    <definedName name="_xlnm._FilterDatabase" localSheetId="4" hidden="1">'event-catalog'!$A$89:$S$89</definedName>
    <definedName name="_xlnm._FilterDatabase" localSheetId="1" hidden="1">'Exotic Seismic Events Query2025'!$A$1:$BF$1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40" l="1"/>
  <c r="W4" i="40"/>
  <c r="W5" i="40"/>
  <c r="W6" i="40"/>
  <c r="W52" i="40"/>
  <c r="W7" i="40"/>
  <c r="W8" i="40"/>
  <c r="W9" i="40"/>
  <c r="W10" i="40"/>
  <c r="W11" i="40"/>
  <c r="W12" i="40"/>
  <c r="W13" i="40"/>
  <c r="W53" i="40"/>
  <c r="W14" i="40"/>
  <c r="W15" i="40"/>
  <c r="W16" i="40"/>
  <c r="W17" i="40"/>
  <c r="W18" i="40"/>
  <c r="W19" i="40"/>
  <c r="W20" i="40"/>
  <c r="W21" i="40"/>
  <c r="W22" i="40"/>
  <c r="W23" i="40"/>
  <c r="W24" i="40"/>
  <c r="W25" i="40"/>
  <c r="W26" i="40"/>
  <c r="W27" i="40"/>
  <c r="W28" i="40"/>
  <c r="W29" i="40"/>
  <c r="W30" i="40"/>
  <c r="W31" i="40"/>
  <c r="W32" i="40"/>
  <c r="W33" i="40"/>
  <c r="W34" i="40"/>
  <c r="W35" i="40"/>
  <c r="W36" i="40"/>
  <c r="W37" i="40"/>
  <c r="W38" i="40"/>
  <c r="W39" i="40"/>
  <c r="W2" i="4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O1" authorId="0" shapeId="0" xr:uid="{97097C01-6BCF-E14A-A60E-47DE2DAAEA88}">
      <text>
        <r>
          <rPr>
            <sz val="10"/>
            <color rgb="FF000000"/>
            <rFont val="Tahoma"/>
            <family val="2"/>
          </rPr>
          <t>parameters</t>
        </r>
      </text>
    </comment>
  </commentList>
</comments>
</file>

<file path=xl/sharedStrings.xml><?xml version="1.0" encoding="utf-8"?>
<sst xmlns="http://schemas.openxmlformats.org/spreadsheetml/2006/main" count="5151" uniqueCount="1526">
  <si>
    <t>Index</t>
  </si>
  <si>
    <t>Y7</t>
  </si>
  <si>
    <t>E19A</t>
  </si>
  <si>
    <t>1A</t>
  </si>
  <si>
    <t>CI</t>
  </si>
  <si>
    <t>QAD</t>
  </si>
  <si>
    <t>CC</t>
  </si>
  <si>
    <t>MJ</t>
  </si>
  <si>
    <t>DC</t>
  </si>
  <si>
    <t>9S</t>
  </si>
  <si>
    <t>ILL12</t>
  </si>
  <si>
    <t>9J</t>
  </si>
  <si>
    <t>IGB02</t>
  </si>
  <si>
    <t>HHZ</t>
  </si>
  <si>
    <t>EHZ</t>
  </si>
  <si>
    <t>SHZ</t>
  </si>
  <si>
    <t>BHZ</t>
  </si>
  <si>
    <t>ELZ</t>
  </si>
  <si>
    <t>CHZ</t>
  </si>
  <si>
    <t>XF</t>
  </si>
  <si>
    <t>H0390</t>
  </si>
  <si>
    <t>MR</t>
  </si>
  <si>
    <t>XN</t>
  </si>
  <si>
    <t>Catchment
Name</t>
  </si>
  <si>
    <t>Country</t>
  </si>
  <si>
    <t>FDSN
Network</t>
  </si>
  <si>
    <t>Selected
Station</t>
  </si>
  <si>
    <t>Component</t>
  </si>
  <si>
    <t>Data
Source</t>
  </si>
  <si>
    <t>Illgraben</t>
  </si>
  <si>
    <t>Switzerland</t>
  </si>
  <si>
    <t>4
DFs</t>
  </si>
  <si>
    <t>Zurich et al. 2017</t>
  </si>
  <si>
    <t>Gradia</t>
  </si>
  <si>
    <t>Italy</t>
  </si>
  <si>
    <t>GA</t>
  </si>
  <si>
    <t>GEO1,
GEO2, GEO3</t>
  </si>
  <si>
    <t>Z</t>
  </si>
  <si>
    <t>data fragments 
in 2013, 2014, 2015</t>
  </si>
  <si>
    <t>3
DFs</t>
  </si>
  <si>
    <t>Cviolve et al. 2015</t>
  </si>
  <si>
    <t>Chalk
Cliffs</t>
  </si>
  <si>
    <t>USA</t>
  </si>
  <si>
    <t>2009-06-05 00:00
to 2009-12-31 00:00</t>
  </si>
  <si>
    <t>2
DFs</t>
  </si>
  <si>
    <t>Kasper et al. (2009)</t>
  </si>
  <si>
    <t>Museum
Fire</t>
  </si>
  <si>
    <t>2021-06-24 00:00
to 2021-08-27 00:00</t>
  </si>
  <si>
    <t>Porter (2019)</t>
  </si>
  <si>
    <t>Montecito</t>
  </si>
  <si>
    <t>1
DFs</t>
  </si>
  <si>
    <t>Jiangjia</t>
  </si>
  <si>
    <t>China</t>
  </si>
  <si>
    <t>2022-08-18 00:00:00
to 2023-08-04 00:00</t>
  </si>
  <si>
    <t>1
DF</t>
  </si>
  <si>
    <t>Dongchuan 2024</t>
  </si>
  <si>
    <t>Ergou</t>
  </si>
  <si>
    <t>EG1, EG2</t>
  </si>
  <si>
    <t>2022-08-18 00:00
to 2022-08-21 00:00</t>
  </si>
  <si>
    <t>Yan et al. (2023)</t>
  </si>
  <si>
    <t>Foutangba</t>
  </si>
  <si>
    <t>FTB1, FTB2</t>
  </si>
  <si>
    <t>Goulinping</t>
  </si>
  <si>
    <t>ACT (S1)</t>
  </si>
  <si>
    <t>data fragments 
in 2022</t>
  </si>
  <si>
    <t>Yang et al. (2024)</t>
  </si>
  <si>
    <t>Ramche</t>
  </si>
  <si>
    <t>Nepal</t>
  </si>
  <si>
    <t>2003-08-13 00:00
to 2003-08-16 00:00</t>
  </si>
  <si>
    <t>XF2002-2005</t>
  </si>
  <si>
    <t>Bhotekoshi</t>
  </si>
  <si>
    <t>Hindi</t>
  </si>
  <si>
    <t>2023-08-01 00:00
to 2016-07-05 15:30</t>
  </si>
  <si>
    <t>1
GOLF</t>
  </si>
  <si>
    <t>XN2015‚Äì2020</t>
  </si>
  <si>
    <t>Ruapehu</t>
  </si>
  <si>
    <t>New
Zeeland</t>
  </si>
  <si>
    <t>2007-03-18 03:25
to 2007-03-19 00:42</t>
  </si>
  <si>
    <t>Braden et al. (2023)</t>
  </si>
  <si>
    <t>CI_2018</t>
  </si>
  <si>
    <t>37
DFs</t>
  </si>
  <si>
    <t>Number 
of Events</t>
  </si>
  <si>
    <t>Sampling
Frequency
(Hz)</t>
  </si>
  <si>
    <r>
      <rPr>
        <b/>
        <sz val="12"/>
        <color theme="1"/>
        <rFont val="Calibri"/>
        <family val="2"/>
        <scheme val="minor"/>
      </rPr>
      <t>AV11</t>
    </r>
    <r>
      <rPr>
        <sz val="12"/>
        <color theme="1"/>
        <rFont val="Calibri"/>
        <family val="2"/>
        <scheme val="minor"/>
      </rPr>
      <t>, 
AV12, AV13</t>
    </r>
  </si>
  <si>
    <r>
      <rPr>
        <b/>
        <sz val="12"/>
        <color theme="1"/>
        <rFont val="Calibri"/>
        <family val="2"/>
        <scheme val="minor"/>
      </rPr>
      <t xml:space="preserve">BL7, </t>
    </r>
    <r>
      <rPr>
        <sz val="12"/>
        <color theme="1"/>
        <rFont val="Calibri"/>
        <family val="2"/>
        <scheme val="minor"/>
      </rPr>
      <t xml:space="preserve">
BL8, BL9</t>
    </r>
  </si>
  <si>
    <r>
      <t>COLL, 
RTMT,</t>
    </r>
    <r>
      <rPr>
        <b/>
        <sz val="12"/>
        <color theme="1"/>
        <rFont val="Calibri"/>
        <family val="2"/>
        <scheme val="minor"/>
      </rPr>
      <t xml:space="preserve"> TRAN</t>
    </r>
  </si>
  <si>
    <t>Data Length
(Year-Days)</t>
  </si>
  <si>
    <t>2018-29</t>
  </si>
  <si>
    <t>﻿39.4</t>
  </si>
  <si>
    <t>﻿Debris-flow monitoring and warning: Review and examples</t>
  </si>
  <si>
    <t>Debris-flow monitoring and warning: Review and examples</t>
  </si>
  <si>
    <t>﻿Drainage area(km2)</t>
  </si>
  <si>
    <t>﻿Channel length(km)</t>
  </si>
  <si>
    <t>﻿11.5 (1.6)</t>
  </si>
  <si>
    <t>Data Quarlity</t>
  </si>
  <si>
    <t>A</t>
  </si>
  <si>
    <t>C</t>
  </si>
  <si>
    <t>B</t>
  </si>
  <si>
    <t>2017-46, 2018-96,
2019-96, 2020-101, 2020-131</t>
  </si>
  <si>
    <t>2013, 2-14</t>
  </si>
  <si>
    <t>22
DFs</t>
  </si>
  <si>
    <t xml:space="preserve">﻿Drainage area(km2) + ﻿Channel length(km) source </t>
  </si>
  <si>
    <t>Monitoring cases of rainfall‑induced debris flows in China</t>
  </si>
  <si>
    <t>Mount Baker</t>
  </si>
  <si>
    <t>UW</t>
  </si>
  <si>
    <t>MBW</t>
  </si>
  <si>
    <t>name</t>
  </si>
  <si>
    <t>Quality</t>
  </si>
  <si>
    <t>Note</t>
  </si>
  <si>
    <t>starttime</t>
  </si>
  <si>
    <t>sources</t>
  </si>
  <si>
    <t>toeLat</t>
  </si>
  <si>
    <t>toeLon</t>
  </si>
  <si>
    <t>topLat</t>
  </si>
  <si>
    <t>topLon</t>
  </si>
  <si>
    <t>upstreamDrainarea</t>
  </si>
  <si>
    <t>type</t>
  </si>
  <si>
    <t>subtype</t>
  </si>
  <si>
    <t>Ash Creek, Mount Shasta</t>
  </si>
  <si>
    <t>2021_07_30 164315</t>
  </si>
  <si>
    <t>Collins, E.A., Allstadt, K.E., Groult, C., Hibert, C., Malet, J.-P., Toney, L.D., and Jensen, E.K., 2022, Seismogenic Landslides and other Mass Movements (ver. 2.0, December 2023): U.S. Geological Survey data release, https://doi.org/10.5066/P90VGCSK.&amp;lt;a href="https%3A//doi.org/10.5066/P90VGCSK"&amp;gt;https://doi.org/10.5066/P90VGCSK&amp;lt;/a&amp;gt;</t>
  </si>
  <si>
    <t>debris flow</t>
  </si>
  <si>
    <t>Lahar/debris flow/outburst flood</t>
  </si>
  <si>
    <t>Casamicciola, Italy</t>
  </si>
  <si>
    <t>2022_11_26 040041</t>
  </si>
  <si>
    <t>Chalk Cliffs, bedrock</t>
  </si>
  <si>
    <t>not SAC or MSEED, manually convert to m/s</t>
  </si>
  <si>
    <t>2014_08_01 212230</t>
  </si>
  <si>
    <t>Kean, J.W., Coe., J.A., Coviello, V., Smith, J.B., McCoy, S.W., Arattano, M., 2015, Estimating rates of debris flow entrainment from ground vibrations: Geophys. Res. Lett, 42, 6365-6372, doi: 10.1002/2015GL064811.</t>
  </si>
  <si>
    <t>Chalk Cliffs, sediment-covered bed</t>
  </si>
  <si>
    <t>2014_07_04 193212</t>
  </si>
  <si>
    <t>Chaos Canyon, Rocky Mountain National Park</t>
  </si>
  <si>
    <t>2022_06_28 223344</t>
  </si>
  <si>
    <t>debris slide</t>
  </si>
  <si>
    <t>Rock/ice/debris avalanches and slides</t>
  </si>
  <si>
    <t>Chehalis Lake</t>
  </si>
  <si>
    <t>2007_12_05 030239</t>
  </si>
  <si>
    <t>Allstadt, Kate E., McVey, Brennah G., and Malone, Stephen D., 2017, Seismogenic Landslides, Debris Flows, and Outburst Floods in the Western United States and Canada from 1977 to 2017: U.S. Geological Survey data release, https://doi.org/10.5066/F7251H3W.&amp;lt;a href="https%3A//doi.org/10.5066/F7251H3W"&amp;gt;https://doi.org/10.5066/F7251H3W&amp;lt;/a&amp;gt;</t>
  </si>
  <si>
    <t>debris avalanche</t>
  </si>
  <si>
    <t>Elliot Creek 2</t>
  </si>
  <si>
    <t>Gadria 1</t>
  </si>
  <si>
    <t>0.5 Hz Low SPS</t>
  </si>
  <si>
    <t>2020_11_28 145844</t>
  </si>
  <si>
    <t>Collins, E.A., Allstadt, K.E., Groult, C., Hibert, C., Malet, J.-P., Toney, L.D., and Bessette-Kirton, E., 2022, Seismogenic Landslides and other Mass Movements: U.S. Geological Survey data release, https://doi.org/10.5066/P90VGCSK.&amp;lt;a href="https%3A//doi.org/10.5066/P90VGCSK"&amp;gt;https://doi.org/10.5066/P90VGCSK&amp;lt;/a&amp;gt;</t>
  </si>
  <si>
    <t>outburst flood</t>
  </si>
  <si>
    <t>2013_07_18 152240</t>
  </si>
  <si>
    <t>Coviello, V., Arattano, M., Comiti, F., Macconi, P., Marchi L., 2019, Seismic characterization of debris flows: insights into energy radiation and implications for warning: J. Geophys. Res. Earth Surface, https://doi.org/10.1029/2018JF004683.&amp;lt;a href="https%3A//doi.org/10.1029/2018JF"&amp;gt;https://doi.org/10.1029/2018JF&amp;lt;/a&amp;gt;</t>
  </si>
  <si>
    <t>Gadria 2</t>
  </si>
  <si>
    <t>Gadria 3</t>
  </si>
  <si>
    <t>Hsiaolin, Taiwan</t>
  </si>
  <si>
    <t>2014_07_15 151305</t>
  </si>
  <si>
    <t>2015_06_09 151558</t>
  </si>
  <si>
    <t>2009_08_08 221616</t>
  </si>
  <si>
    <t>debris avalanche, debris flow</t>
  </si>
  <si>
    <t>2018_01_09 114001</t>
  </si>
  <si>
    <t>Montecito subevent</t>
  </si>
  <si>
    <t>2018_01_09 120509</t>
  </si>
  <si>
    <t>Montserrat</t>
  </si>
  <si>
    <t>1997_12_26 070240</t>
  </si>
  <si>
    <t>debris avalanche, pyroclastic density current</t>
  </si>
  <si>
    <t>Mount Adams</t>
  </si>
  <si>
    <t>2012_07_25 042956</t>
  </si>
  <si>
    <t>2013_05_31 095426</t>
  </si>
  <si>
    <t>debris slide, debris flow</t>
  </si>
  <si>
    <t>Mount Rainier</t>
  </si>
  <si>
    <t>2019_09_27 004320</t>
  </si>
  <si>
    <t>2015_08_13 164948</t>
  </si>
  <si>
    <t>outburst flood, debris flow</t>
  </si>
  <si>
    <t>Mount Spurr</t>
  </si>
  <si>
    <t>2014_09_10 192115</t>
  </si>
  <si>
    <t>2012_06_25 125239</t>
  </si>
  <si>
    <t>Mount Spurr 1</t>
  </si>
  <si>
    <t>2016_08_16 081240</t>
  </si>
  <si>
    <t>Mount Spurr 2</t>
  </si>
  <si>
    <t>2016_08_16 105343</t>
  </si>
  <si>
    <t>Mount St Helens</t>
  </si>
  <si>
    <t>2014_10_22 130700</t>
  </si>
  <si>
    <t>2015_09_17 232700</t>
  </si>
  <si>
    <t>2015_08_14 213527</t>
  </si>
  <si>
    <t>Mud Creek, Mount Shasta</t>
  </si>
  <si>
    <t>2021_06_27 214812</t>
  </si>
  <si>
    <t>2021_07_01 214546</t>
  </si>
  <si>
    <t>2014_09_20 204918</t>
  </si>
  <si>
    <t>Museum Fire, Arizona</t>
  </si>
  <si>
    <t>2020_07_24 214125</t>
  </si>
  <si>
    <t>Oso main</t>
  </si>
  <si>
    <t>2014_03_22 173725</t>
  </si>
  <si>
    <t>debris avalanche-flow</t>
  </si>
  <si>
    <t>Oso scarp failure</t>
  </si>
  <si>
    <t>2014_04_25 224101</t>
  </si>
  <si>
    <t>debris fall</t>
  </si>
  <si>
    <t>Rock/debris falls</t>
  </si>
  <si>
    <t>Oso secondary</t>
  </si>
  <si>
    <t>Redoubt 2</t>
  </si>
  <si>
    <t>Redoubt 20</t>
  </si>
  <si>
    <t>2014_03_22 174151</t>
  </si>
  <si>
    <t>2009_03_23 100316</t>
  </si>
  <si>
    <t>lahar, explosions</t>
  </si>
  <si>
    <t>2009_04_04 143122</t>
  </si>
  <si>
    <t>Redoubt 3</t>
  </si>
  <si>
    <t>2009_03_23 123753</t>
  </si>
  <si>
    <t>Redoubt 5</t>
  </si>
  <si>
    <t>2009_03_26 163817</t>
  </si>
  <si>
    <t>Redoubt 6</t>
  </si>
  <si>
    <t>2009_03_26 173418</t>
  </si>
  <si>
    <t>Shishaldin</t>
  </si>
  <si>
    <t>2019_10_29 002644</t>
  </si>
  <si>
    <t>lahar</t>
  </si>
  <si>
    <t>Swift No 2 Dam</t>
  </si>
  <si>
    <t>2002_04_21 133027</t>
  </si>
  <si>
    <t>dam failure, outburst flood</t>
  </si>
  <si>
    <t>Tahoma Creek, Mount Rainier</t>
  </si>
  <si>
    <t>2019_08_06 014432</t>
  </si>
  <si>
    <t>White River, Mount Hood</t>
  </si>
  <si>
    <t>2015_08_19 210440</t>
  </si>
  <si>
    <t>2015_08_22 235820</t>
  </si>
  <si>
    <t>2015_08_20 204712</t>
  </si>
  <si>
    <t>Whitney and Bolam Creek, Mount Shasta</t>
  </si>
  <si>
    <t>2021_07_27 172215</t>
  </si>
  <si>
    <t>Whitney Creek, Mount Shasta</t>
  </si>
  <si>
    <t>2021_09_10 080231</t>
  </si>
  <si>
    <t>areaSource</t>
  </si>
  <si>
    <t>areaSourceHigh</t>
  </si>
  <si>
    <t>areaSourceLow</t>
  </si>
  <si>
    <t>areaTotal</t>
  </si>
  <si>
    <t>associationId</t>
  </si>
  <si>
    <t>datlocation</t>
  </si>
  <si>
    <t>depth</t>
  </si>
  <si>
    <t>endtime</t>
  </si>
  <si>
    <t>eventid</t>
  </si>
  <si>
    <t>h</t>
  </si>
  <si>
    <t>hHigh</t>
  </si>
  <si>
    <t>hLow</t>
  </si>
  <si>
    <t>hfall</t>
  </si>
  <si>
    <t>hfall_high</t>
  </si>
  <si>
    <t>hfall_low</t>
  </si>
  <si>
    <t>l</t>
  </si>
  <si>
    <t>lHigh</t>
  </si>
  <si>
    <t>lLow</t>
  </si>
  <si>
    <t>latitude</t>
  </si>
  <si>
    <t>locuncertKm</t>
  </si>
  <si>
    <t>longitude</t>
  </si>
  <si>
    <t>lppotential</t>
  </si>
  <si>
    <t>mass</t>
  </si>
  <si>
    <t>massHigh</t>
  </si>
  <si>
    <t>massLow</t>
  </si>
  <si>
    <t>maxdistvhfKm</t>
  </si>
  <si>
    <t>maxdistvhfReached</t>
  </si>
  <si>
    <t>maxdisthfKm</t>
  </si>
  <si>
    <t>maxdisthfReached</t>
  </si>
  <si>
    <t>maxdistipKm</t>
  </si>
  <si>
    <t>maxdistipReached</t>
  </si>
  <si>
    <t>maxdistlpKm</t>
  </si>
  <si>
    <t>maxdistlpReached</t>
  </si>
  <si>
    <t>maxdistinfraKm</t>
  </si>
  <si>
    <t>maxdistinfraReached</t>
  </si>
  <si>
    <t>infraDetected</t>
  </si>
  <si>
    <t>otherdataquality1to5</t>
  </si>
  <si>
    <t>peakDischarge</t>
  </si>
  <si>
    <t>peakDischargeLow</t>
  </si>
  <si>
    <t>peakDischargeHigh</t>
  </si>
  <si>
    <t>peakFlowheight</t>
  </si>
  <si>
    <t>peakFlowheightLow</t>
  </si>
  <si>
    <t>peakFlowheightHigh</t>
  </si>
  <si>
    <t>volume</t>
  </si>
  <si>
    <t>volumeHigh</t>
  </si>
  <si>
    <t>volumeLow</t>
  </si>
  <si>
    <t>IRIS</t>
  </si>
  <si>
    <t>2007_07_25 010251</t>
  </si>
  <si>
    <t>Mount Steele 2</t>
  </si>
  <si>
    <t>2007_07_25 005835</t>
  </si>
  <si>
    <t>rock and ice avalanche</t>
  </si>
  <si>
    <t>2017_06_23 214249</t>
  </si>
  <si>
    <t>Xinmo Village, China</t>
  </si>
  <si>
    <t>2017_06_23 213916</t>
  </si>
  <si>
    <t>rock slide, rock avalanche</t>
  </si>
  <si>
    <t>RESIF, ETH, ORFEUS, LMU, BGR, IRIS, INGV</t>
  </si>
  <si>
    <t>2017_08_23 093828</t>
  </si>
  <si>
    <t>Piz Cengalo 4, Switzerland</t>
  </si>
  <si>
    <t>2017_08_23 093617</t>
  </si>
  <si>
    <t>landslide</t>
  </si>
  <si>
    <t>2017_07_22 205957</t>
  </si>
  <si>
    <t>Lucia Glacier</t>
  </si>
  <si>
    <t>2017_07_22 205630</t>
  </si>
  <si>
    <t>rock avalanche</t>
  </si>
  <si>
    <t>NCEDC, IRIS</t>
  </si>
  <si>
    <t>2021_07_31 010155</t>
  </si>
  <si>
    <t>IRIS, NCEDC</t>
  </si>
  <si>
    <t>2013_07_25 101727</t>
  </si>
  <si>
    <t>Wrangell Mountains</t>
  </si>
  <si>
    <t>2013_07_25 101456</t>
  </si>
  <si>
    <t>rock and debris avalanche</t>
  </si>
  <si>
    <t>2013_01_21 011052</t>
  </si>
  <si>
    <t>Mount Haast, New Zealand</t>
  </si>
  <si>
    <t>2013_01_21 010828</t>
  </si>
  <si>
    <t>2019_05_13 144245</t>
  </si>
  <si>
    <t>Mount Joffre 1</t>
  </si>
  <si>
    <t>2019_05_13 143955</t>
  </si>
  <si>
    <t>rock avalanche, debris flow</t>
  </si>
  <si>
    <t>ETH, ORFEUS, LMU, BGR, IRIS, INGV</t>
  </si>
  <si>
    <t>2015_10_02 160136</t>
  </si>
  <si>
    <t>Sölden, Austria</t>
  </si>
  <si>
    <t>2015_10_02 155900</t>
  </si>
  <si>
    <t>rock slide</t>
  </si>
  <si>
    <t>IRIS, INGV</t>
  </si>
  <si>
    <t>2014_07_13 093504</t>
  </si>
  <si>
    <t>Lienzer Dolomiten, Austria</t>
  </si>
  <si>
    <t>2014_07_13 093422</t>
  </si>
  <si>
    <t>RESIF, ETH, INGV</t>
  </si>
  <si>
    <t>2016_04_29 194130</t>
  </si>
  <si>
    <t>Mont Granier 2, France</t>
  </si>
  <si>
    <t>2016_04_29 194007</t>
  </si>
  <si>
    <t>rock fall</t>
  </si>
  <si>
    <t>2006_07_25 221514</t>
  </si>
  <si>
    <t>2006_07_25 221320</t>
  </si>
  <si>
    <t>ice and debris avalanche</t>
  </si>
  <si>
    <t>RESIF, INGV</t>
  </si>
  <si>
    <t>2017_05_30 185427</t>
  </si>
  <si>
    <t>Saint Auban, France</t>
  </si>
  <si>
    <t>2017_05_30 185205</t>
  </si>
  <si>
    <t>IRIS, Attachments below</t>
  </si>
  <si>
    <t>2005_05_15 135216</t>
  </si>
  <si>
    <t>South Twin 1</t>
  </si>
  <si>
    <t>2005_05_15 134616</t>
  </si>
  <si>
    <t>2005_05_15 181618</t>
  </si>
  <si>
    <t>South Twin 8</t>
  </si>
  <si>
    <t>2005_05_15 181525</t>
  </si>
  <si>
    <t>2016_06_28 162606</t>
  </si>
  <si>
    <t>Lamplugh Glacier</t>
  </si>
  <si>
    <t>2016_06_28 162103</t>
  </si>
  <si>
    <t>2009_03_28 122804</t>
  </si>
  <si>
    <t>Ahwiyah Point</t>
  </si>
  <si>
    <t>2009_03_28 122601</t>
  </si>
  <si>
    <t>2013_06_14 124925</t>
  </si>
  <si>
    <t>Johns Hopkins Glacier</t>
  </si>
  <si>
    <t>2013_06_14 124818</t>
  </si>
  <si>
    <t>INGV</t>
  </si>
  <si>
    <t>2022_11_26 040401</t>
  </si>
  <si>
    <t>2018_07_11 003749</t>
  </si>
  <si>
    <t>Red Glacier, Iliamna</t>
  </si>
  <si>
    <t>2018_07_11 002406</t>
  </si>
  <si>
    <t>ice avalanche</t>
  </si>
  <si>
    <t>2007_12_19 014337</t>
  </si>
  <si>
    <t>Middle Brother</t>
  </si>
  <si>
    <t>2007_12_19 014225</t>
  </si>
  <si>
    <t>2014_10_03 031723</t>
  </si>
  <si>
    <t>Iliamna</t>
  </si>
  <si>
    <t>2014_10_03 031644</t>
  </si>
  <si>
    <t>2015_08_19 185136</t>
  </si>
  <si>
    <t>2015_08_19 184950</t>
  </si>
  <si>
    <t>2008_12_15 102441</t>
  </si>
  <si>
    <t>2008_12_15 102407</t>
  </si>
  <si>
    <t>2019_03_26 180129</t>
  </si>
  <si>
    <t>Umbrella Glacier, Iliamna</t>
  </si>
  <si>
    <t>2019_03_26 180044</t>
  </si>
  <si>
    <t>2021_04_07 132358</t>
  </si>
  <si>
    <t>2021_04_07 132206</t>
  </si>
  <si>
    <t>IRIS, RESIF, ETH, INGV</t>
  </si>
  <si>
    <t>2017_09_29 031051</t>
  </si>
  <si>
    <t>Eperon Tournier, France</t>
  </si>
  <si>
    <t>2017_09_29 030911</t>
  </si>
  <si>
    <t>BGR, ETH</t>
  </si>
  <si>
    <t>2002_07_13 130437</t>
  </si>
  <si>
    <t>Vicosoprano, Switzerland</t>
  </si>
  <si>
    <t>2002_07_13 130223</t>
  </si>
  <si>
    <t>Attachments below</t>
  </si>
  <si>
    <t>2014_08_01 214556</t>
  </si>
  <si>
    <t>IRIS, INGV, BGR, ETH</t>
  </si>
  <si>
    <t>2008_08_18 101637</t>
  </si>
  <si>
    <t>Eiger 4, Switzerland</t>
  </si>
  <si>
    <t>2008_08_18 101457</t>
  </si>
  <si>
    <t>2021_02_16 170957</t>
  </si>
  <si>
    <t>Coe Glacier, Mount Hood</t>
  </si>
  <si>
    <t>2021_02_16 170614</t>
  </si>
  <si>
    <t>snow avalanche</t>
  </si>
  <si>
    <t>Snow avalanches</t>
  </si>
  <si>
    <t>RASPISHAKE, RESIF, INGV</t>
  </si>
  <si>
    <t>2020_12_20 065705</t>
  </si>
  <si>
    <t>Grand Tabuc, France</t>
  </si>
  <si>
    <t>2020_12_20 065548</t>
  </si>
  <si>
    <t>LMU, ETH, INGV</t>
  </si>
  <si>
    <t>2012_03_22 225456</t>
  </si>
  <si>
    <t>Hochwand, Austria</t>
  </si>
  <si>
    <t>2012_03_22 225325</t>
  </si>
  <si>
    <t>1997_10_24 143119</t>
  </si>
  <si>
    <t>1997_10_24 142903</t>
  </si>
  <si>
    <t>IRIS, GFZ, ORFEUS, IPGP, ISC</t>
  </si>
  <si>
    <t>2009_08_14 200029</t>
  </si>
  <si>
    <t>NW Rota 1</t>
  </si>
  <si>
    <t>2009_08_14 153855</t>
  </si>
  <si>
    <t>submarine landslide</t>
  </si>
  <si>
    <t>2000_02_22 163708</t>
  </si>
  <si>
    <t>2000_02_22 163448</t>
  </si>
  <si>
    <t>2011_03_10 141451</t>
  </si>
  <si>
    <t>Mount Hood Ski area</t>
  </si>
  <si>
    <t>2011_03_10 141224</t>
  </si>
  <si>
    <t>Steve Malone</t>
  </si>
  <si>
    <t>2014_07_04 194243</t>
  </si>
  <si>
    <t>2014_05_25 131948</t>
  </si>
  <si>
    <t>West Salt Creek precursor</t>
  </si>
  <si>
    <t>2014_05_25 131852</t>
  </si>
  <si>
    <t>landslide, debris flow</t>
  </si>
  <si>
    <t>2011_06_29 034304</t>
  </si>
  <si>
    <t>Nisqually 6</t>
  </si>
  <si>
    <t>2011_06_29 034204</t>
  </si>
  <si>
    <t>rock fall, rock and ice avalanche</t>
  </si>
  <si>
    <t>2015_03_31 012110</t>
  </si>
  <si>
    <t>Mount Shasta</t>
  </si>
  <si>
    <t>2015_03_31 012014</t>
  </si>
  <si>
    <t>2022_01_06 135004</t>
  </si>
  <si>
    <t>Shoestring Notch, Mount St Helens</t>
  </si>
  <si>
    <t>2022_01_06 133112</t>
  </si>
  <si>
    <t>2016_05_30 101935</t>
  </si>
  <si>
    <t>East Crillon</t>
  </si>
  <si>
    <t>2016_05_30 101628</t>
  </si>
  <si>
    <t>NIEP, ETH, ORFEUS, LMU, IRIS, INGV</t>
  </si>
  <si>
    <t>2017_12_24 171355</t>
  </si>
  <si>
    <t>Vals, Austria</t>
  </si>
  <si>
    <t>2017_12_24 171207</t>
  </si>
  <si>
    <t>2011_07_01 233627</t>
  </si>
  <si>
    <t>Nisqually 7</t>
  </si>
  <si>
    <t>2011_07_01 233005</t>
  </si>
  <si>
    <t>2022_06_28 223544</t>
  </si>
  <si>
    <t>2021_06_14 141817</t>
  </si>
  <si>
    <t>2021_06_14 141243</t>
  </si>
  <si>
    <t>2005_05_15 142615</t>
  </si>
  <si>
    <t>South Twin 2</t>
  </si>
  <si>
    <t>2005_05_15 141933</t>
  </si>
  <si>
    <t>RESIF, ETH, BGR, IRIS, INGV</t>
  </si>
  <si>
    <t>2011_09_11 081725</t>
  </si>
  <si>
    <t>Pilier Bonatti 1, France</t>
  </si>
  <si>
    <t>2011_09_11 081501</t>
  </si>
  <si>
    <t>RASPISHAKE, NIEP, ETH, GFZ, ORFEUS, LMU, BGR, IRIS, INGV</t>
  </si>
  <si>
    <t>2018_05_07 042038</t>
  </si>
  <si>
    <t>Eck, Austria</t>
  </si>
  <si>
    <t>2018_05_07 041844</t>
  </si>
  <si>
    <t>ETH</t>
  </si>
  <si>
    <t>2002_11_21 142306</t>
  </si>
  <si>
    <t>Medji, Switzerland</t>
  </si>
  <si>
    <t>2002_11_21 142049</t>
  </si>
  <si>
    <t>2022_12_22 102106</t>
  </si>
  <si>
    <t>Snowpatch Spire</t>
  </si>
  <si>
    <t>2022_12_22 101834</t>
  </si>
  <si>
    <t>IRIS, GEOFON</t>
  </si>
  <si>
    <t>2014_07_21 232953</t>
  </si>
  <si>
    <t>Askja Caldera</t>
  </si>
  <si>
    <t>2014_07_21 232404</t>
  </si>
  <si>
    <t>rock slide, outburst flood</t>
  </si>
  <si>
    <t>2014_07_20 160506</t>
  </si>
  <si>
    <t>2014_07_20 155816</t>
  </si>
  <si>
    <t>ice and rock avalanche</t>
  </si>
  <si>
    <t>INGV, ORFEUS, LMU, IRIS</t>
  </si>
  <si>
    <t>2017_10_20 022623</t>
  </si>
  <si>
    <t>Großes Wiesbachhorn 2, Austria</t>
  </si>
  <si>
    <t>2017_10_20 022513</t>
  </si>
  <si>
    <t>LMU, BGR, INGV</t>
  </si>
  <si>
    <t>2014_11_25 024955</t>
  </si>
  <si>
    <t>Stubaital, Austria</t>
  </si>
  <si>
    <t>2014_11_25 024839</t>
  </si>
  <si>
    <t>1997_10_20 073656</t>
  </si>
  <si>
    <t>1997_10_20 073122</t>
  </si>
  <si>
    <t>2021_07_27 073114</t>
  </si>
  <si>
    <t>Black Dyke, Stawamus Chief</t>
  </si>
  <si>
    <t>2021_07_27 073009</t>
  </si>
  <si>
    <t>2022_09_03 205501</t>
  </si>
  <si>
    <t>2022_09_03 205215</t>
  </si>
  <si>
    <t>IRIS, CNSN</t>
  </si>
  <si>
    <t>2007_12_05 030519</t>
  </si>
  <si>
    <t>1989_08_16 173012</t>
  </si>
  <si>
    <t>Russell Cliff main, Mount Rainier</t>
  </si>
  <si>
    <t>1989_08_16 172112</t>
  </si>
  <si>
    <t>rock fall, debris avalanche</t>
  </si>
  <si>
    <t>2022_09_01 181139</t>
  </si>
  <si>
    <t>Ecstall River</t>
  </si>
  <si>
    <t>2022_09_01 180315</t>
  </si>
  <si>
    <t>rock and ice avalanche, outburst flood</t>
  </si>
  <si>
    <t>2019_06_21 000612</t>
  </si>
  <si>
    <t>2019_06_21 000312</t>
  </si>
  <si>
    <t>2011_07_03 000858</t>
  </si>
  <si>
    <t>Nisqually 9</t>
  </si>
  <si>
    <t>2011_07_03 000731</t>
  </si>
  <si>
    <t>2008_08_01 144613</t>
  </si>
  <si>
    <t>2008_08_01 144238</t>
  </si>
  <si>
    <t>2016_06_16 222719</t>
  </si>
  <si>
    <t>USGS Debris-flow flume sand gravel and cobbles</t>
  </si>
  <si>
    <t>2016_06_16 222626</t>
  </si>
  <si>
    <t>debris flow flume experiment</t>
  </si>
  <si>
    <t>2015_10_18 052243</t>
  </si>
  <si>
    <t>Icy Bay</t>
  </si>
  <si>
    <t>2015_10_18 051836</t>
  </si>
  <si>
    <t>2016_05_07 063357</t>
  </si>
  <si>
    <t>Mont Granier 4, France</t>
  </si>
  <si>
    <t>2016_05_07 063226</t>
  </si>
  <si>
    <t>2020_11_28 162141</t>
  </si>
  <si>
    <t>2013_07_18 154240</t>
  </si>
  <si>
    <t>2005_05_15 155301</t>
  </si>
  <si>
    <t>South Twin 4</t>
  </si>
  <si>
    <t>0.5 Hz Low SPS, already in GLIC</t>
  </si>
  <si>
    <t>2005_05_15 155148</t>
  </si>
  <si>
    <t>2008_01_05 023418</t>
  </si>
  <si>
    <t>2008_01_05 023310</t>
  </si>
  <si>
    <t>INGV, ORFEUS, ETH</t>
  </si>
  <si>
    <t>2017_08_23 090544</t>
  </si>
  <si>
    <t>Piz Cengalo 3, Switzerland</t>
  </si>
  <si>
    <t>2017_08_23 090354</t>
  </si>
  <si>
    <t>2011_07_06 222535</t>
  </si>
  <si>
    <t>Nisqually 10</t>
  </si>
  <si>
    <t>2011_07_06 222327</t>
  </si>
  <si>
    <t>2014_07_15 153905</t>
  </si>
  <si>
    <t>2015_06_09 160558</t>
  </si>
  <si>
    <t>2009_08_08 222128</t>
  </si>
  <si>
    <t>2020_12_10 205357</t>
  </si>
  <si>
    <t>2020_12_10 205226</t>
  </si>
  <si>
    <t>2018_02_17 210747</t>
  </si>
  <si>
    <t>Saint Sauveur, France</t>
  </si>
  <si>
    <t>2018_02_17 210634</t>
  </si>
  <si>
    <t>SCEDC</t>
  </si>
  <si>
    <t>2018_01_09 130835</t>
  </si>
  <si>
    <t>2020_12_24 195242</t>
  </si>
  <si>
    <t>Taku River</t>
  </si>
  <si>
    <t>2020_12_24 195018</t>
  </si>
  <si>
    <t>2012_10_13 041805</t>
  </si>
  <si>
    <t>2012_10_13 041616</t>
  </si>
  <si>
    <t>SCEDC, IRIS, NCEDC</t>
  </si>
  <si>
    <t>2018_01_09 121028</t>
  </si>
  <si>
    <t>2011_03_10 091508</t>
  </si>
  <si>
    <t>2011_03_10 091144</t>
  </si>
  <si>
    <t>snow avalanche, wet slide</t>
  </si>
  <si>
    <t>2012_11_25 112953</t>
  </si>
  <si>
    <t>Regitzer Spitz, Switzerland</t>
  </si>
  <si>
    <t>2012_11_25 112900</t>
  </si>
  <si>
    <t>2013_10_21 221507</t>
  </si>
  <si>
    <t>2013_10_21 221150</t>
  </si>
  <si>
    <t>ice and snow avalanche</t>
  </si>
  <si>
    <t>2022_05_08 034118</t>
  </si>
  <si>
    <t>Lowell Point</t>
  </si>
  <si>
    <t>2022_05_08 033908</t>
  </si>
  <si>
    <t>2012_05_21 142840</t>
  </si>
  <si>
    <t>Hubbard Glacier</t>
  </si>
  <si>
    <t>2012_05_21 142532</t>
  </si>
  <si>
    <t>2010_09_12 204110</t>
  </si>
  <si>
    <t>Siachen Glacier</t>
  </si>
  <si>
    <t>2010_09_12 203729</t>
  </si>
  <si>
    <t>GEOFON</t>
  </si>
  <si>
    <t>2010_01_04 084032</t>
  </si>
  <si>
    <t>Hunza-Attabad, Pakistan</t>
  </si>
  <si>
    <t>2010_01_04 083654</t>
  </si>
  <si>
    <t>2015_07_31 014216</t>
  </si>
  <si>
    <t>Mount Sulzer 3 secondary</t>
  </si>
  <si>
    <t>2015_07_31 013239</t>
  </si>
  <si>
    <t>2009_04_19 213750</t>
  </si>
  <si>
    <t>Formazza 2, Italy</t>
  </si>
  <si>
    <t>2009_04_19 213602</t>
  </si>
  <si>
    <t>2008_01_08 181834</t>
  </si>
  <si>
    <t>2008_01_08 181703</t>
  </si>
  <si>
    <t>2005_05_15 160232</t>
  </si>
  <si>
    <t>South Twin 5</t>
  </si>
  <si>
    <t>2005_05_15 160105</t>
  </si>
  <si>
    <t>1997_12_26 070719</t>
  </si>
  <si>
    <t>2011_06_26 013501</t>
  </si>
  <si>
    <t>Nisqually 4</t>
  </si>
  <si>
    <t>2011_06_26 012851</t>
  </si>
  <si>
    <t>IRIS, INGV, ETH, ORFEUS, RESIF</t>
  </si>
  <si>
    <t>2023_02_23 153115</t>
  </si>
  <si>
    <t>Kandersteg, Switzerland</t>
  </si>
  <si>
    <t>2023_02_23 152932</t>
  </si>
  <si>
    <t>2012_07_25 043218</t>
  </si>
  <si>
    <t>2021_08_09 074652</t>
  </si>
  <si>
    <t>Barry Arm</t>
  </si>
  <si>
    <t>2021_08_09 074540</t>
  </si>
  <si>
    <t>2020_10_05 050523</t>
  </si>
  <si>
    <t>2020_10_05 050251</t>
  </si>
  <si>
    <t>2016_04_30 054818</t>
  </si>
  <si>
    <t>Mont Granier 3, France</t>
  </si>
  <si>
    <t>2016_04_30 054714</t>
  </si>
  <si>
    <t>2022_01_06 173253</t>
  </si>
  <si>
    <t>Muddy River, Mount St Helens</t>
  </si>
  <si>
    <t>2022_01_06 171630</t>
  </si>
  <si>
    <t>2009_04_19 214720</t>
  </si>
  <si>
    <t>Formazza 3, Italy</t>
  </si>
  <si>
    <t>2009_04_19 214355</t>
  </si>
  <si>
    <t>2013_05_31 101511</t>
  </si>
  <si>
    <t>2015_06_29 025705</t>
  </si>
  <si>
    <t>Redoubt</t>
  </si>
  <si>
    <t>2015_06_29 025155</t>
  </si>
  <si>
    <t>2018_07_07 054114</t>
  </si>
  <si>
    <t>Ingraham Glacier, Mount Rainier</t>
  </si>
  <si>
    <t>2018_07_07 053814</t>
  </si>
  <si>
    <t>ice fall</t>
  </si>
  <si>
    <t>2019_09_27 012922</t>
  </si>
  <si>
    <t>2021_09_20 083009</t>
  </si>
  <si>
    <t>Zodiac Wall, Stawamus Chief</t>
  </si>
  <si>
    <t>2021_09_20 082856</t>
  </si>
  <si>
    <t>RESIF</t>
  </si>
  <si>
    <t>2017_11_05 022931</t>
  </si>
  <si>
    <t>Callian, France</t>
  </si>
  <si>
    <t>2017_11_05 022839</t>
  </si>
  <si>
    <t>RASPISHAKE, RESIF, ETH, IRIS, INGV</t>
  </si>
  <si>
    <t>2020_02_02 113304</t>
  </si>
  <si>
    <t>Vange, France</t>
  </si>
  <si>
    <t>2020_02_02 113113</t>
  </si>
  <si>
    <t>2015_07_31 020208</t>
  </si>
  <si>
    <t>Mount Sulzer 4</t>
  </si>
  <si>
    <t>2015_07_31 015708</t>
  </si>
  <si>
    <t>2009_01_15 052200</t>
  </si>
  <si>
    <t>2009_01_15 052140</t>
  </si>
  <si>
    <t>2005_09_14 200600</t>
  </si>
  <si>
    <t>Mount Steller</t>
  </si>
  <si>
    <t>2005_09_14 195950</t>
  </si>
  <si>
    <t>2021_05_31 144302</t>
  </si>
  <si>
    <t>Kennecott Mine</t>
  </si>
  <si>
    <t>2021_05_31 144056</t>
  </si>
  <si>
    <t>2015_08_13 200000</t>
  </si>
  <si>
    <t>2021_02_03 060049</t>
  </si>
  <si>
    <t>Mount St Helens 2</t>
  </si>
  <si>
    <t>2021_02_03 054241</t>
  </si>
  <si>
    <t>2014_09_10 200505</t>
  </si>
  <si>
    <t>2019_02_14 102430</t>
  </si>
  <si>
    <t>Avalanche Gulch, Mount Shasta</t>
  </si>
  <si>
    <t>2019_02_14 102238</t>
  </si>
  <si>
    <t>2017_09_15 200706</t>
  </si>
  <si>
    <t>Piz Piot, Switzerland</t>
  </si>
  <si>
    <t>2017_09_15 200422</t>
  </si>
  <si>
    <t>2016_06_21 185802</t>
  </si>
  <si>
    <t>2016_06_21 185721</t>
  </si>
  <si>
    <t>2012_06_25 133842</t>
  </si>
  <si>
    <t>RESIF, ETH, LMU, BGR, IRIS, INGV</t>
  </si>
  <si>
    <t>2012_05_15 024743</t>
  </si>
  <si>
    <t>Preonzo, Switzerland</t>
  </si>
  <si>
    <t>2012_05_15 024529</t>
  </si>
  <si>
    <t>IRIS, BGR, ETH</t>
  </si>
  <si>
    <t>2004_09_18 114743</t>
  </si>
  <si>
    <t>Thurwieser, Italy</t>
  </si>
  <si>
    <t>2004_09_18 114324</t>
  </si>
  <si>
    <t>2010_09_12 105431</t>
  </si>
  <si>
    <t>Kärpf 4, Switzerland</t>
  </si>
  <si>
    <t>2010_09_12 105402</t>
  </si>
  <si>
    <t>2007_07_22 202856</t>
  </si>
  <si>
    <t>Mount Steele 1</t>
  </si>
  <si>
    <t>2007_07_22 202607</t>
  </si>
  <si>
    <t>2021_03_11 225919</t>
  </si>
  <si>
    <t>Sunset Amphitheater, Mount Rainier</t>
  </si>
  <si>
    <t>2021_03_11 225814</t>
  </si>
  <si>
    <t>2016_06_23 145320</t>
  </si>
  <si>
    <t>USGS Debris-flow flume sand and gravel</t>
  </si>
  <si>
    <t>2016_06_23 145250</t>
  </si>
  <si>
    <t>2019_07_15 163436</t>
  </si>
  <si>
    <t>2019_07_15 163209</t>
  </si>
  <si>
    <t>Liam D. Toney</t>
  </si>
  <si>
    <t>2010_08_06 103206</t>
  </si>
  <si>
    <t>Mount Meager main</t>
  </si>
  <si>
    <t>2010_08_06 102735</t>
  </si>
  <si>
    <t>rock slide-debris flow</t>
  </si>
  <si>
    <t>IRIS, INGV, ETH</t>
  </si>
  <si>
    <t>2016_03_14 190620</t>
  </si>
  <si>
    <t>Val Strem, Switzerland</t>
  </si>
  <si>
    <t>2016_03_14 190253</t>
  </si>
  <si>
    <t>NIEP, ETH, GFZ, ORFEUS, LMU, BGR, IRIS, INGV</t>
  </si>
  <si>
    <t>2017_10_19 204411</t>
  </si>
  <si>
    <t>Großes Wiesbachhorn 1, Austria</t>
  </si>
  <si>
    <t>2017_10_19 204212</t>
  </si>
  <si>
    <t>2016_08_16 083649</t>
  </si>
  <si>
    <t>2000_04_09 121015</t>
  </si>
  <si>
    <t>Yìgòng, Tibet</t>
  </si>
  <si>
    <t>2000_04_09 120000</t>
  </si>
  <si>
    <t>rock slide, debris avalanche</t>
  </si>
  <si>
    <t>2009_04_19 090823</t>
  </si>
  <si>
    <t>Formazza 1, Italy</t>
  </si>
  <si>
    <t>2009_04_19 090531</t>
  </si>
  <si>
    <t>2018_08_28 160158</t>
  </si>
  <si>
    <t>White Salmon Glacier, Mount Adams</t>
  </si>
  <si>
    <t>2018_08_28 160049</t>
  </si>
  <si>
    <t>2011_05_06 052305</t>
  </si>
  <si>
    <t>Kalkkögel, Austria</t>
  </si>
  <si>
    <t>2011_05_06 052205</t>
  </si>
  <si>
    <t>2016_06_14 215453</t>
  </si>
  <si>
    <t>2016_06_14 215358</t>
  </si>
  <si>
    <t>2016_05_28 153103</t>
  </si>
  <si>
    <t>Takhinsha Mountains</t>
  </si>
  <si>
    <t>2016_05_28 152756</t>
  </si>
  <si>
    <t>2007_08_06 084957</t>
  </si>
  <si>
    <t>Crandall Canyon Mine</t>
  </si>
  <si>
    <t>2007_08_06 084844</t>
  </si>
  <si>
    <t>mine collapse</t>
  </si>
  <si>
    <t>1989_08_16 171621</t>
  </si>
  <si>
    <t>Russell Cliff 3, Mount Rainier</t>
  </si>
  <si>
    <t>1989_08_16 171523</t>
  </si>
  <si>
    <t>2016_08_16 110822</t>
  </si>
  <si>
    <t>ORFEUS, LMU, INGV</t>
  </si>
  <si>
    <t>2019_10_24 181458</t>
  </si>
  <si>
    <t>Karteis 1, Austria</t>
  </si>
  <si>
    <t>2019_10_24 181404</t>
  </si>
  <si>
    <t>2008_10_08 135737</t>
  </si>
  <si>
    <t>Glacier Point</t>
  </si>
  <si>
    <t>2008_10_08 135534</t>
  </si>
  <si>
    <t>INGV, RESIF, BGR, ETH</t>
  </si>
  <si>
    <t>2007_04_21 072739</t>
  </si>
  <si>
    <t>Monte Rosa, Italy</t>
  </si>
  <si>
    <t>2007_04_21 072409</t>
  </si>
  <si>
    <t>2016_12_30 182813</t>
  </si>
  <si>
    <t>Cowee Creek</t>
  </si>
  <si>
    <t>2016_12_30 182712</t>
  </si>
  <si>
    <t>2016_05_25 210309</t>
  </si>
  <si>
    <t>2016_05_25 210013</t>
  </si>
  <si>
    <t>2013_02_02 140206</t>
  </si>
  <si>
    <t>2013_02_02 135550</t>
  </si>
  <si>
    <t>2011_06_27 190309</t>
  </si>
  <si>
    <t>Nisqually 5</t>
  </si>
  <si>
    <t>2011_06_27 185646</t>
  </si>
  <si>
    <t>2009_10_11 165952</t>
  </si>
  <si>
    <t>Nile Valley eastern failure</t>
  </si>
  <si>
    <t>2009_10_11 164427</t>
  </si>
  <si>
    <t>2016_08_19 220021</t>
  </si>
  <si>
    <t>Kleine Gaisl, Italy</t>
  </si>
  <si>
    <t>2016_08_19 215655</t>
  </si>
  <si>
    <t>2021_09_13 171654</t>
  </si>
  <si>
    <t>Nisqually, Mount Rainier 1</t>
  </si>
  <si>
    <t>2021_09_13 171607</t>
  </si>
  <si>
    <t>2009_01_17 215449</t>
  </si>
  <si>
    <t>Eagle Canyon</t>
  </si>
  <si>
    <t>2009_01_17 215415</t>
  </si>
  <si>
    <t>2020_11_28 145720</t>
  </si>
  <si>
    <t>Elliot Creek 1</t>
  </si>
  <si>
    <t>2020_11_28 145256</t>
  </si>
  <si>
    <t>2009_10_11 143944</t>
  </si>
  <si>
    <t>Nile Valley western failure</t>
  </si>
  <si>
    <t>2009_10_11 143642</t>
  </si>
  <si>
    <t>2000_01_30 145030</t>
  </si>
  <si>
    <t>Solvay Mine</t>
  </si>
  <si>
    <t>2000_01_30 144716</t>
  </si>
  <si>
    <t>2018_03_13 054953</t>
  </si>
  <si>
    <t>Maitz, France</t>
  </si>
  <si>
    <t>2018_03_13 054938</t>
  </si>
  <si>
    <t>1989_08_16 171509</t>
  </si>
  <si>
    <t>Russell Cliff 2, Mount Rainier</t>
  </si>
  <si>
    <t>1989_08_16 171409</t>
  </si>
  <si>
    <t>2020_08_08 004036</t>
  </si>
  <si>
    <t>Dorn, Austria</t>
  </si>
  <si>
    <t>2020_08_08 003946</t>
  </si>
  <si>
    <t>1989_08_16 170708</t>
  </si>
  <si>
    <t>Russell Cliff 1, Mount Rainier</t>
  </si>
  <si>
    <t>1989_08_16 170619</t>
  </si>
  <si>
    <t>2021_09_13 174725</t>
  </si>
  <si>
    <t>Nisqually, Mount Rainier 2</t>
  </si>
  <si>
    <t>2021_09_13 174636</t>
  </si>
  <si>
    <t>2016_06_22 191124</t>
  </si>
  <si>
    <t>2016_06_22 191054</t>
  </si>
  <si>
    <t>2015_10_12 020533</t>
  </si>
  <si>
    <t>Mount Steele</t>
  </si>
  <si>
    <t>2015_10_12 020141</t>
  </si>
  <si>
    <t>2014_05_15 015607</t>
  </si>
  <si>
    <t>2014_05_15 014741</t>
  </si>
  <si>
    <t>INGV, ETH</t>
  </si>
  <si>
    <t>2006_07_26 190602</t>
  </si>
  <si>
    <t>Eiger 3, Switzerland</t>
  </si>
  <si>
    <t>2006_07_26 190422</t>
  </si>
  <si>
    <t>2005_06_30 012736</t>
  </si>
  <si>
    <t>Aiguille Dru 1, France</t>
  </si>
  <si>
    <t>2005_06_30 012305</t>
  </si>
  <si>
    <t>2006_05_29 161121</t>
  </si>
  <si>
    <t>2006_05_29 160808</t>
  </si>
  <si>
    <t>2016_06_15 214820</t>
  </si>
  <si>
    <t>2016_06_15 214729</t>
  </si>
  <si>
    <t>2016_08_10 193044</t>
  </si>
  <si>
    <t>Mount Sulzer 5</t>
  </si>
  <si>
    <t>2016_08_10 192740</t>
  </si>
  <si>
    <t>2018_08_07 041023</t>
  </si>
  <si>
    <t>Glacier Carre, France</t>
  </si>
  <si>
    <t>2018_08_07 040848</t>
  </si>
  <si>
    <t>2008_02_28 235557</t>
  </si>
  <si>
    <t>2008_02_28 235531</t>
  </si>
  <si>
    <t>2014_10_22 212800</t>
  </si>
  <si>
    <t>2015_09_18 004144</t>
  </si>
  <si>
    <t>2015_08_14 221156</t>
  </si>
  <si>
    <t>2008_08_16 121212</t>
  </si>
  <si>
    <t>Kärpf 3, Switzerland</t>
  </si>
  <si>
    <t>2008_08_16 121132</t>
  </si>
  <si>
    <t>2005_05_15 171707</t>
  </si>
  <si>
    <t>South Twin 7</t>
  </si>
  <si>
    <t>2005_05_15 171141</t>
  </si>
  <si>
    <t>RASPISHAKE, ETH, ORFEUS, LMU, IRIS, INGV</t>
  </si>
  <si>
    <t>2021_05_17 193931</t>
  </si>
  <si>
    <t>Lunersee, Austria</t>
  </si>
  <si>
    <t>2021_05_17 193813</t>
  </si>
  <si>
    <t>2021_06_28 024542</t>
  </si>
  <si>
    <t>2011_06_24 164459</t>
  </si>
  <si>
    <t>Nisqually 1</t>
  </si>
  <si>
    <t>2011_06_24 164054</t>
  </si>
  <si>
    <t>2007_09_29 131713</t>
  </si>
  <si>
    <t>Kärpf 2, Switzerland</t>
  </si>
  <si>
    <t>2007_09_29 131555</t>
  </si>
  <si>
    <t>2017_12_02 120535</t>
  </si>
  <si>
    <t>Dent du Ratier, France</t>
  </si>
  <si>
    <t>2017_12_02 120507</t>
  </si>
  <si>
    <t>2021_07_02 020542</t>
  </si>
  <si>
    <t>2014_09_20 231011</t>
  </si>
  <si>
    <t>2022_05_16 221231</t>
  </si>
  <si>
    <t>2022_05_16 220846</t>
  </si>
  <si>
    <t>2006_07_13 172835</t>
  </si>
  <si>
    <t>Eiger 1, Switzerland</t>
  </si>
  <si>
    <t>2006_07_13 172555</t>
  </si>
  <si>
    <t>INGV, ETH, IRIS</t>
  </si>
  <si>
    <t>2015_01_16 192415</t>
  </si>
  <si>
    <t>Dobratsch, Austria</t>
  </si>
  <si>
    <t>2015_01_16 192251</t>
  </si>
  <si>
    <t>2011_06_25 231115</t>
  </si>
  <si>
    <t>Nisqually 3</t>
  </si>
  <si>
    <t>2011_06_25 230405</t>
  </si>
  <si>
    <t>2021_08_13 115851</t>
  </si>
  <si>
    <t>Crab Orchard Mine</t>
  </si>
  <si>
    <t>2021_08_13 115738</t>
  </si>
  <si>
    <t>2020_07_24 221811</t>
  </si>
  <si>
    <t>2010_08_12 164505</t>
  </si>
  <si>
    <t>2010_08_12 164238</t>
  </si>
  <si>
    <t>2014_02_16 142910</t>
  </si>
  <si>
    <t>Mount La Perouse</t>
  </si>
  <si>
    <t>2014_02_16 142444</t>
  </si>
  <si>
    <t>2019_05_16 160606</t>
  </si>
  <si>
    <t>Mount Joffre 2</t>
  </si>
  <si>
    <t>2019_05_16 160302</t>
  </si>
  <si>
    <t>2014_05_25 234727</t>
  </si>
  <si>
    <t>West Salt Creek main</t>
  </si>
  <si>
    <t>2014_05_25 234340</t>
  </si>
  <si>
    <t>rock slide and rock avalanche</t>
  </si>
  <si>
    <t>2014_03_22 174039</t>
  </si>
  <si>
    <t>2017_08_08 030002</t>
  </si>
  <si>
    <t>Pas du Rif, France</t>
  </si>
  <si>
    <t>2017_08_08 025856</t>
  </si>
  <si>
    <t>2004_09_10 113849</t>
  </si>
  <si>
    <t>Lateral Glacier, Iliamna</t>
  </si>
  <si>
    <t>2004_09_10 113615</t>
  </si>
  <si>
    <t>RESIF, NIEP, ETH, GFZ, ORFEUS, LMU, BGR, IRIS, INGV</t>
  </si>
  <si>
    <t>2017_08_23 073551</t>
  </si>
  <si>
    <t>Piz Cengalo 2, Switzerland</t>
  </si>
  <si>
    <t>2017_08_23 073016</t>
  </si>
  <si>
    <t>2007_10_12 074056</t>
  </si>
  <si>
    <t>Einserkofel, Italy</t>
  </si>
  <si>
    <t>2007_10_12 073924</t>
  </si>
  <si>
    <t>2005_05_15 155006</t>
  </si>
  <si>
    <t>South Twin 3</t>
  </si>
  <si>
    <t>2005_05_15 154807</t>
  </si>
  <si>
    <t>2014_02_25 134328</t>
  </si>
  <si>
    <t>2014_02_25 133924</t>
  </si>
  <si>
    <t>2007_12_19 232835</t>
  </si>
  <si>
    <t>2007_12_19 232819</t>
  </si>
  <si>
    <t>2011_06_25 152153</t>
  </si>
  <si>
    <t>Nisqually 2</t>
  </si>
  <si>
    <t>2011_06_25 152042</t>
  </si>
  <si>
    <t>2013_08_22 061014</t>
  </si>
  <si>
    <t>Mount Sulzer 2</t>
  </si>
  <si>
    <t>2013_08_22 060756</t>
  </si>
  <si>
    <t>2021_01_12 200102</t>
  </si>
  <si>
    <t>2021_01_12 195054</t>
  </si>
  <si>
    <t>IRIS, GFZ, GEONET</t>
  </si>
  <si>
    <t>2018_12_22 140330</t>
  </si>
  <si>
    <t>Anak Krakatau</t>
  </si>
  <si>
    <t>2018_12_22 135611</t>
  </si>
  <si>
    <t>flank collapse</t>
  </si>
  <si>
    <t>IRIS, LMU, ETH, INGV</t>
  </si>
  <si>
    <t>2014_11_24 162850</t>
  </si>
  <si>
    <t>Trins, Austria</t>
  </si>
  <si>
    <t>2014_11_24 162720</t>
  </si>
  <si>
    <t>2013_04_11 050738</t>
  </si>
  <si>
    <t>Bingham Canyon Mine 2</t>
  </si>
  <si>
    <t>2013_04_11 050458</t>
  </si>
  <si>
    <t>2014_04_25 224137</t>
  </si>
  <si>
    <t>2019_09_27 031149</t>
  </si>
  <si>
    <t>Isanotski</t>
  </si>
  <si>
    <t>2019_09_27 031052</t>
  </si>
  <si>
    <t>RASPISHAKE, ETH, ORFEUS, LMU, BGR, IRIS, INGV</t>
  </si>
  <si>
    <t>2019_03_18 230251</t>
  </si>
  <si>
    <t>Fluela Wisshorn, Switzerland</t>
  </si>
  <si>
    <t>2019_03_18 230033</t>
  </si>
  <si>
    <t>2014_01_28 121319</t>
  </si>
  <si>
    <t>2014_01_28 121043</t>
  </si>
  <si>
    <t>2023_06_15 213949</t>
  </si>
  <si>
    <t>Brienz-Brinzauls, Switzerland</t>
  </si>
  <si>
    <t>2023_06_15 213742</t>
  </si>
  <si>
    <t>2014_03_22 174428</t>
  </si>
  <si>
    <t>2009_03_23 114333</t>
  </si>
  <si>
    <t>2009_04_04 154958</t>
  </si>
  <si>
    <t>1980_05_18 154400</t>
  </si>
  <si>
    <t>1980_05_18 153211</t>
  </si>
  <si>
    <t>rock slide-debris avalanche</t>
  </si>
  <si>
    <t>2016_05_22 080135</t>
  </si>
  <si>
    <t>2016_05_22 075734</t>
  </si>
  <si>
    <t>ETH, INGV</t>
  </si>
  <si>
    <t>2011_09_11 112632</t>
  </si>
  <si>
    <t>Pilier Bonatti 2, France</t>
  </si>
  <si>
    <t>2011_09_11 112513</t>
  </si>
  <si>
    <t>IRIS, ETH</t>
  </si>
  <si>
    <t>2015_10_19 072542</t>
  </si>
  <si>
    <t>Mel de la Niva, Switzerland</t>
  </si>
  <si>
    <t>2015_10_19 072351</t>
  </si>
  <si>
    <t>2009_03_23 134127</t>
  </si>
  <si>
    <t>2015_03_07 192146</t>
  </si>
  <si>
    <t>Orville-Wilbur</t>
  </si>
  <si>
    <t>2015_03_07 191907</t>
  </si>
  <si>
    <t>2009_03_26 172304</t>
  </si>
  <si>
    <t>INGV, RESIF, ETH</t>
  </si>
  <si>
    <t>2005_08_25 023804</t>
  </si>
  <si>
    <t>2005_08_25 023611</t>
  </si>
  <si>
    <t>2022_10_11 214603</t>
  </si>
  <si>
    <t>Steel Cliffs, Mount Hood</t>
  </si>
  <si>
    <t>2022_10_11 214450</t>
  </si>
  <si>
    <t>2008_12_21 053321</t>
  </si>
  <si>
    <t>2008_12_21 053316</t>
  </si>
  <si>
    <t>ORFEUS, BGR, ETH</t>
  </si>
  <si>
    <t>2020_03_18 211732</t>
  </si>
  <si>
    <t>Ebnit, Austria</t>
  </si>
  <si>
    <t>2020_03_18 211641</t>
  </si>
  <si>
    <t>2009_03_26 183021</t>
  </si>
  <si>
    <t>2006_07_28 014637</t>
  </si>
  <si>
    <t>Half Dome</t>
  </si>
  <si>
    <t>2006_07_28 014516</t>
  </si>
  <si>
    <t>2013_04_11 033430</t>
  </si>
  <si>
    <t>Bingham Canyon Mine 1</t>
  </si>
  <si>
    <t>2013_04_11 033024</t>
  </si>
  <si>
    <t>2019_10_29 005818</t>
  </si>
  <si>
    <t>2018_10_10 141336</t>
  </si>
  <si>
    <t>Baige, Tibet</t>
  </si>
  <si>
    <t>2018_10_10 140936</t>
  </si>
  <si>
    <t>2003_07_25 102346</t>
  </si>
  <si>
    <t>2003_07_25 102037</t>
  </si>
  <si>
    <t>2004_09_08 102001</t>
  </si>
  <si>
    <t>2004_09_08 101903</t>
  </si>
  <si>
    <t>2002_04_21 135833</t>
  </si>
  <si>
    <t>2019_08_24 235121</t>
  </si>
  <si>
    <t>Cable Mountain, Zion National Park</t>
  </si>
  <si>
    <t>2019_08_24 234820</t>
  </si>
  <si>
    <t>2013_08_05 190409</t>
  </si>
  <si>
    <t>Mount Sulzer 1</t>
  </si>
  <si>
    <t>2013_08_05 185936</t>
  </si>
  <si>
    <t>2022_09_15 050544</t>
  </si>
  <si>
    <t>Ellsworth Glacier</t>
  </si>
  <si>
    <t>2022_09_15 050134</t>
  </si>
  <si>
    <t>2017_06_28 034936</t>
  </si>
  <si>
    <t>Grand Darray, Switzerland</t>
  </si>
  <si>
    <t>2017_06_28 034824</t>
  </si>
  <si>
    <t>2019_09_25 193345</t>
  </si>
  <si>
    <t>Le Sert, France</t>
  </si>
  <si>
    <t>2019_09_25 193314</t>
  </si>
  <si>
    <t>2009_10_27 063056</t>
  </si>
  <si>
    <t>Val Canaria, Switzerland</t>
  </si>
  <si>
    <t>2009_10_27 062941</t>
  </si>
  <si>
    <t>2021_02_24 035448</t>
  </si>
  <si>
    <t>Reid Glacier, Mount Hood</t>
  </si>
  <si>
    <t>2021_02_24 034914</t>
  </si>
  <si>
    <t>RESIF, ETH, GFZ, ORFEUS, LMU, BGR, IRIS, INGV</t>
  </si>
  <si>
    <t>2011_12_27 172914</t>
  </si>
  <si>
    <t>Piz Cengalo 1, Switzerland</t>
  </si>
  <si>
    <t>2011_12_27 172522</t>
  </si>
  <si>
    <t>2020_01_26 130453</t>
  </si>
  <si>
    <t>Crater Rock, Mount Hood</t>
  </si>
  <si>
    <t>2020_01_26 130246</t>
  </si>
  <si>
    <t>2017_12_16 120706</t>
  </si>
  <si>
    <t>Villa Santa Lucía, Chile</t>
  </si>
  <si>
    <t>2017_12_16 120213</t>
  </si>
  <si>
    <t>rock slide, debris flow</t>
  </si>
  <si>
    <t>2020_01_14 175343</t>
  </si>
  <si>
    <t>Newton-Clark, Mount Hood</t>
  </si>
  <si>
    <t>2020_01_14 175103</t>
  </si>
  <si>
    <t>2012_06_11 223248</t>
  </si>
  <si>
    <t>Mount Lituya secondary</t>
  </si>
  <si>
    <t>2012_06_11 223003</t>
  </si>
  <si>
    <t>2007_12_19 000134</t>
  </si>
  <si>
    <t>2007_12_19 000021</t>
  </si>
  <si>
    <t>2010_06_05 113616</t>
  </si>
  <si>
    <t>2010_06_05 113448</t>
  </si>
  <si>
    <t>2002_06_06 083825</t>
  </si>
  <si>
    <t>Tavanasa, Switzerland</t>
  </si>
  <si>
    <t>2002_06_06 083658</t>
  </si>
  <si>
    <t>2010_08_06 103606</t>
  </si>
  <si>
    <t>Mount Meager secondary</t>
  </si>
  <si>
    <t>2010_08_06 103417</t>
  </si>
  <si>
    <t>2020_07_16 042657</t>
  </si>
  <si>
    <t>Liberty Cap Glacier, Mount Rainier</t>
  </si>
  <si>
    <t>2020_07_16 042603</t>
  </si>
  <si>
    <t>rock and ice fall</t>
  </si>
  <si>
    <t>2015_07_31 013018</t>
  </si>
  <si>
    <t>Mount Sulzer 3</t>
  </si>
  <si>
    <t>2015_07_31 012503</t>
  </si>
  <si>
    <t>2008_08_18 122124</t>
  </si>
  <si>
    <t>Eiger 5, Switzerland</t>
  </si>
  <si>
    <t>2008_08_18 121858</t>
  </si>
  <si>
    <t>2019_08_06 031234</t>
  </si>
  <si>
    <t>2004_02_09 215021</t>
  </si>
  <si>
    <t>2004_02_09 214754</t>
  </si>
  <si>
    <t>2014_05_14 214717</t>
  </si>
  <si>
    <t>2014_05_14 214409</t>
  </si>
  <si>
    <t>2020_10_17 212118</t>
  </si>
  <si>
    <t>2020_10_17 211800</t>
  </si>
  <si>
    <t>2013_05_12 190557</t>
  </si>
  <si>
    <t>Redoubt Lake</t>
  </si>
  <si>
    <t>2013_05_12 190443</t>
  </si>
  <si>
    <t>2022_09_17 181409</t>
  </si>
  <si>
    <t>2022_09_17 181018</t>
  </si>
  <si>
    <t>2017_06_17 234906</t>
  </si>
  <si>
    <t>Nuugaatsiaq, Greenland</t>
  </si>
  <si>
    <t>2017_06_17 233912</t>
  </si>
  <si>
    <t>2016_03_25 171550</t>
  </si>
  <si>
    <t>Mellental, Austria</t>
  </si>
  <si>
    <t>2016_03_25 171400</t>
  </si>
  <si>
    <t>2007_09_29 130333</t>
  </si>
  <si>
    <t>Kärpf 1, Switzerland</t>
  </si>
  <si>
    <t>2007_09_29 130242</t>
  </si>
  <si>
    <t>2015_08_20 023640</t>
  </si>
  <si>
    <t>2016_04_28 010503</t>
  </si>
  <si>
    <t>Mont Granier 1, France</t>
  </si>
  <si>
    <t>2016_04_28 010343</t>
  </si>
  <si>
    <t>2014_11_12 121609</t>
  </si>
  <si>
    <t>Antelao, Italy</t>
  </si>
  <si>
    <t>2014_11_12 121409</t>
  </si>
  <si>
    <t>2015_08_23 014727</t>
  </si>
  <si>
    <t>2017_02_21 093844</t>
  </si>
  <si>
    <t>Zwölferkofel, Italy</t>
  </si>
  <si>
    <t>2017_02_21 093636</t>
  </si>
  <si>
    <t>2006_07_13 174106</t>
  </si>
  <si>
    <t>Eiger 2, Switzerland</t>
  </si>
  <si>
    <t>2006_07_13 173930</t>
  </si>
  <si>
    <t>2021_02_01 110452</t>
  </si>
  <si>
    <t>Mount St Helens 1</t>
  </si>
  <si>
    <t>2021_02_01 105427</t>
  </si>
  <si>
    <t>IRIS, NCEDC, SCEDC</t>
  </si>
  <si>
    <t>2023_02_20 194148</t>
  </si>
  <si>
    <t>El Capitan</t>
  </si>
  <si>
    <t>2023_02_20 194059</t>
  </si>
  <si>
    <t>2022_09_01 204705</t>
  </si>
  <si>
    <t>2022_09_01 204553</t>
  </si>
  <si>
    <t>2012_05_01 182823</t>
  </si>
  <si>
    <t>Gamsgrube, Austria</t>
  </si>
  <si>
    <t>2012_05_01 182646</t>
  </si>
  <si>
    <t>2020_04_09 132954</t>
  </si>
  <si>
    <t>Carbon Glacier, Mount Rainier</t>
  </si>
  <si>
    <t>2020_04_09 132841</t>
  </si>
  <si>
    <t>RASPISHAKE, RESIF, ETH, INGV</t>
  </si>
  <si>
    <t>2021_04_06 234252</t>
  </si>
  <si>
    <t>Montfort Isere, France</t>
  </si>
  <si>
    <t>2021_04_06 234124</t>
  </si>
  <si>
    <t>2011_07_02 162720</t>
  </si>
  <si>
    <t>Nisqually 8</t>
  </si>
  <si>
    <t>2011_07_02 162536</t>
  </si>
  <si>
    <t>2018_06_01 055748</t>
  </si>
  <si>
    <t>Heuvieres, France</t>
  </si>
  <si>
    <t>2018_06_01 055725</t>
  </si>
  <si>
    <t>2015_08_20 213436</t>
  </si>
  <si>
    <t>1992_10_23 155954</t>
  </si>
  <si>
    <t>Russell Cliff, Mount Rainier</t>
  </si>
  <si>
    <t>1992_10_23 155836</t>
  </si>
  <si>
    <t>2007_12_19 002106</t>
  </si>
  <si>
    <t>2007_12_19 002034</t>
  </si>
  <si>
    <t>2005_05_15 170812</t>
  </si>
  <si>
    <t>South Twin 6</t>
  </si>
  <si>
    <t>2005_05_15 170714</t>
  </si>
  <si>
    <t>2018_02_12 200335</t>
  </si>
  <si>
    <t>Rudach, Austria</t>
  </si>
  <si>
    <t>2018_02_12 200235</t>
  </si>
  <si>
    <t>2013_11_05 163520</t>
  </si>
  <si>
    <t>2013_11_05 163203</t>
  </si>
  <si>
    <t>2021_07_28 025915</t>
  </si>
  <si>
    <t>No digital data</t>
  </si>
  <si>
    <t>1977_07_14 042110</t>
  </si>
  <si>
    <t>1977_07_14 041955</t>
  </si>
  <si>
    <t>2021_09_10 141412</t>
  </si>
  <si>
    <t>2022_09_01 205627</t>
  </si>
  <si>
    <t>2022_09_01 205421</t>
  </si>
  <si>
    <t>2012_06_11 222652</t>
  </si>
  <si>
    <t>Mount Lituya main</t>
  </si>
  <si>
    <t>2012_06_11 222400</t>
  </si>
  <si>
    <t>2009_08_10 110853</t>
  </si>
  <si>
    <t>Butangbunasi, Taiwan</t>
  </si>
  <si>
    <t>2009_08_10 110556</t>
  </si>
  <si>
    <t>2010_07_09 073820</t>
  </si>
  <si>
    <t>Sheemahant Glacier</t>
  </si>
  <si>
    <t>2010_07_09 073435</t>
  </si>
  <si>
    <t>2017_03_06 234541</t>
  </si>
  <si>
    <t>2017_03_06 232627</t>
  </si>
  <si>
    <t>2019_10_24 194221</t>
  </si>
  <si>
    <t>Karteis 2, Austria</t>
  </si>
  <si>
    <t>2019_10_24 194114</t>
  </si>
  <si>
    <t>ID</t>
  </si>
  <si>
    <t>Network</t>
  </si>
  <si>
    <t>Station</t>
  </si>
  <si>
    <t>LGY</t>
  </si>
  <si>
    <t>NC</t>
  </si>
  <si>
    <t>Distance</t>
  </si>
  <si>
    <t>ICVJ</t>
  </si>
  <si>
    <t>IV</t>
  </si>
  <si>
    <t>Client</t>
  </si>
  <si>
    <t>Local</t>
  </si>
  <si>
    <t>ch</t>
  </si>
  <si>
    <t>gpB</t>
  </si>
  <si>
    <t>DHZ</t>
  </si>
  <si>
    <t>Not Include</t>
  </si>
  <si>
    <t>MCSU</t>
  </si>
  <si>
    <t>C0</t>
  </si>
  <si>
    <t>distance &gt; 10 km</t>
  </si>
  <si>
    <t>distance &gt; 10 km, SPS=40 &lt; 100 Hz</t>
  </si>
  <si>
    <t>distance &gt; 10 km, SPS=10 &lt; 100 Hz</t>
  </si>
  <si>
    <t>SPS=0.5 &lt; 100 Hz</t>
  </si>
  <si>
    <t>RER</t>
  </si>
  <si>
    <t>CKN</t>
  </si>
  <si>
    <t>AV</t>
  </si>
  <si>
    <t>VALT</t>
  </si>
  <si>
    <t>LGB</t>
  </si>
  <si>
    <t>LBB2</t>
  </si>
  <si>
    <t>OSO2</t>
  </si>
  <si>
    <t>RDW</t>
  </si>
  <si>
    <t>the time is wrong</t>
  </si>
  <si>
    <t>RCS</t>
  </si>
  <si>
    <t>SSLS</t>
  </si>
  <si>
    <t>PALM</t>
  </si>
  <si>
    <t>LMP</t>
  </si>
  <si>
    <t>SPS</t>
  </si>
  <si>
    <t>Type</t>
  </si>
  <si>
    <t>DF</t>
  </si>
  <si>
    <t>2013-07-22T16:30:00</t>
  </si>
  <si>
    <t>2013-07-22T18:30:00</t>
  </si>
  <si>
    <t>2013-07-29T15:00:00</t>
  </si>
  <si>
    <t>2014-04-08T18:00:00</t>
  </si>
  <si>
    <t>2014-04-26T22:30:00</t>
  </si>
  <si>
    <t>2014-04-27T05:00:00</t>
  </si>
  <si>
    <t>2014-04-29T09:00:00</t>
  </si>
  <si>
    <t>2014-04-29T15:00:00</t>
  </si>
  <si>
    <t>2014-04-30T15:00:00</t>
  </si>
  <si>
    <t>2014-05-02T03:00:00</t>
  </si>
  <si>
    <t>2014-05-02T12:00:00</t>
  </si>
  <si>
    <t>2014-05-07T15:30:00</t>
  </si>
  <si>
    <t>2014-05-07T18:00:00</t>
  </si>
  <si>
    <t>2014-05-24T09:00:00</t>
  </si>
  <si>
    <t>2014-05-27T05:30:00</t>
  </si>
  <si>
    <t>2014-06-19T14:00:00</t>
  </si>
  <si>
    <t>2014-06-19T16:00:00</t>
  </si>
  <si>
    <t>2014-07-08T14:00:00</t>
  </si>
  <si>
    <t>2014-07-12T14:40:00</t>
  </si>
  <si>
    <t>2014-07-20T20:00:00</t>
  </si>
  <si>
    <t>2014-07-23T22:50:00</t>
  </si>
  <si>
    <t>2014-07-28T16:00:00</t>
  </si>
  <si>
    <t>2014-07-29T06:00:00</t>
  </si>
  <si>
    <t>2014-08-02T17:30:00</t>
  </si>
  <si>
    <t>2014-08-02T21:30:00</t>
  </si>
  <si>
    <t>2014-08-08T18:30:00</t>
  </si>
  <si>
    <t>2014-08-08T21:00:00</t>
  </si>
  <si>
    <t>2014-08-11T09:00:00</t>
  </si>
  <si>
    <t>2014-08-13T15:00:00</t>
  </si>
  <si>
    <t>2014-09-08T19:30:00</t>
  </si>
  <si>
    <t>2017-05-19T11:50:00</t>
  </si>
  <si>
    <t>2017-05-19T13:00:00</t>
  </si>
  <si>
    <t>ILL02</t>
  </si>
  <si>
    <t>2017-05-29T16:55:00</t>
  </si>
  <si>
    <t>2017-06-14T19:25:00</t>
  </si>
  <si>
    <t>2017-06-14T20:15:00</t>
  </si>
  <si>
    <t>2018-06-11T10:47:00</t>
  </si>
  <si>
    <t>2018-06-11T11:40:00</t>
  </si>
  <si>
    <t>2018-06-12T18:20:00</t>
  </si>
  <si>
    <t>2018-07-25T17:45:00</t>
  </si>
  <si>
    <t>2018-08-08T17:45:00</t>
  </si>
  <si>
    <t>2018-08-08T18:15:00</t>
  </si>
  <si>
    <t>2019-06-11T01:10:00</t>
  </si>
  <si>
    <t>2019-06-20T09:00:00</t>
  </si>
  <si>
    <t>2019-06-20T10:50:00</t>
  </si>
  <si>
    <t>2019-06-21T19:30:00</t>
  </si>
  <si>
    <t>2019-06-21T20:30:00</t>
  </si>
  <si>
    <t>2019-07-01T23:00:00</t>
  </si>
  <si>
    <t>2019-07-02T00:30:00</t>
  </si>
  <si>
    <t>2019-07-02T22:05:00</t>
  </si>
  <si>
    <t>2019-07-02T23:00:00</t>
  </si>
  <si>
    <t>2019-07-15T04:45:00</t>
  </si>
  <si>
    <t>2019-07-26T18:30:00</t>
  </si>
  <si>
    <t>2019-08-20T17:30:00</t>
  </si>
  <si>
    <t>2019-10-09T11:45:00</t>
  </si>
  <si>
    <t>2019-10-09T12:45:00</t>
  </si>
  <si>
    <t>2020-06-08T13:55:00</t>
  </si>
  <si>
    <t>2020-06-29T06:00:00</t>
  </si>
  <si>
    <t>2020-08-16T21:10:00</t>
  </si>
  <si>
    <t>2020-08-16T22:40:00</t>
  </si>
  <si>
    <t>2020-08-30T05:10:00</t>
  </si>
  <si>
    <t>2022-06-05T11:10:00</t>
  </si>
  <si>
    <t>2022-06-05T12:10:00</t>
  </si>
  <si>
    <t>2022-06-30T21:30:00</t>
  </si>
  <si>
    <t>2022-07-04T21:40:00</t>
  </si>
  <si>
    <t>2022-07-04T22:50:00</t>
  </si>
  <si>
    <t>2022-09-08T00:35:00</t>
  </si>
  <si>
    <t>2021-07-14T20:50:00</t>
  </si>
  <si>
    <t>2021-07-14T21:10:00</t>
  </si>
  <si>
    <t>2021-07-16T20:10:00</t>
  </si>
  <si>
    <t>2021-07-16T20:45:00</t>
  </si>
  <si>
    <t>2021-08-17T19:10:00</t>
  </si>
  <si>
    <t>2021-08-17T19:30:00</t>
  </si>
  <si>
    <t>ACT</t>
  </si>
  <si>
    <t>2022-08-18T08:30:00</t>
  </si>
  <si>
    <t>2009-09-06T20:20:00</t>
  </si>
  <si>
    <t>AV11</t>
  </si>
  <si>
    <t>2009-09-15T23:40:00</t>
  </si>
  <si>
    <t>2014-07-04T19:32:12</t>
  </si>
  <si>
    <t>2014-07-04T19:42:43</t>
  </si>
  <si>
    <t>2014-08-01T21:22:30</t>
  </si>
  <si>
    <t>2014-08-01T21:45:56</t>
  </si>
  <si>
    <t>FTB1</t>
  </si>
  <si>
    <t>2023-08-02T10:00:00</t>
  </si>
  <si>
    <t>2023-08-02T14:00:00</t>
  </si>
  <si>
    <t>BL7</t>
  </si>
  <si>
    <t>HNZ</t>
  </si>
  <si>
    <t>GLOF</t>
  </si>
  <si>
    <t>2016-07-05T18:00:00</t>
  </si>
  <si>
    <t>NEP08</t>
  </si>
  <si>
    <t>TRAN</t>
  </si>
  <si>
    <t>CN</t>
  </si>
  <si>
    <t>A05A</t>
  </si>
  <si>
    <t>TA</t>
  </si>
  <si>
    <t>GUL</t>
  </si>
  <si>
    <t>WSLP</t>
  </si>
  <si>
    <t>WSLR</t>
  </si>
  <si>
    <t>JCW</t>
  </si>
  <si>
    <t>JUN</t>
  </si>
  <si>
    <t>LL02</t>
  </si>
  <si>
    <t>C1</t>
  </si>
  <si>
    <t>2021-07-30T16:43:15</t>
  </si>
  <si>
    <t>2021-07-31T01:01:55</t>
  </si>
  <si>
    <t>2022-11-26T04:00:41</t>
  </si>
  <si>
    <t>2022-11-26T04:04:01</t>
  </si>
  <si>
    <t>2022-06-28T22:33:44</t>
  </si>
  <si>
    <t>2022-06-28T22:35:44</t>
  </si>
  <si>
    <t>2007-12-05T03:02:39</t>
  </si>
  <si>
    <t>2007-12-05T03:05:19</t>
  </si>
  <si>
    <t>2013-07-18T15:22:40</t>
  </si>
  <si>
    <t>2013-07-18T15:42:40</t>
  </si>
  <si>
    <t>2014-07-15T15:13:05</t>
  </si>
  <si>
    <t>2014-07-15T15:39:05</t>
  </si>
  <si>
    <t>2015-06-09T15:15:58</t>
  </si>
  <si>
    <t>2015-06-09T16:05:58</t>
  </si>
  <si>
    <t>2009-08-08T22:16:16</t>
  </si>
  <si>
    <t>2009-08-08T22:21:28</t>
  </si>
  <si>
    <t>2018-01-09T11:40:01</t>
  </si>
  <si>
    <t>2018-01-09T13:08:35</t>
  </si>
  <si>
    <t>2018-01-09T12:05:09</t>
  </si>
  <si>
    <t>2018-01-09T12:10:28</t>
  </si>
  <si>
    <t>1997-12-26T07:02:40</t>
  </si>
  <si>
    <t>1997-12-26T07:07:19</t>
  </si>
  <si>
    <t>2012-07-25T04:29:56</t>
  </si>
  <si>
    <t>2012-07-25T04:32:18</t>
  </si>
  <si>
    <t>2013-05-31T09:54:26</t>
  </si>
  <si>
    <t>2013-05-31T10:15:11</t>
  </si>
  <si>
    <t>2019-05-13T14:39:55</t>
  </si>
  <si>
    <t>2019-05-13T14:42:45</t>
  </si>
  <si>
    <t>2019-05-16T16:03:02</t>
  </si>
  <si>
    <t>2019-05-16T16:06:06</t>
  </si>
  <si>
    <t>2010-08-06T10:27:35</t>
  </si>
  <si>
    <t>2010-08-06T10:32:06</t>
  </si>
  <si>
    <t>2019-09-27T00:43:20</t>
  </si>
  <si>
    <t>2019-09-27T01:29:22</t>
  </si>
  <si>
    <t>2015-08-13T16:49:48</t>
  </si>
  <si>
    <t>2015-08-13T20:00:00</t>
  </si>
  <si>
    <t>2014-09-10T19:21:15</t>
  </si>
  <si>
    <t>2014-09-10T20:05:05</t>
  </si>
  <si>
    <t>2012-06-25T12:52:39</t>
  </si>
  <si>
    <t>2012-06-25T13:38:42</t>
  </si>
  <si>
    <t>2016-08-16T08:12:40</t>
  </si>
  <si>
    <t>2016-08-16T08:36:49</t>
  </si>
  <si>
    <t>2016-08-16T10:53:43</t>
  </si>
  <si>
    <t>2016-08-16T11:08:22</t>
  </si>
  <si>
    <t>2014-10-22T13:07:00</t>
  </si>
  <si>
    <t>2014-10-22T21:28:00</t>
  </si>
  <si>
    <t>2015-09-17T23:27:00</t>
  </si>
  <si>
    <t>2015-09-18T00:41:44</t>
  </si>
  <si>
    <t>2015-08-14T21:35:27</t>
  </si>
  <si>
    <t>2015-08-14T22:11:56</t>
  </si>
  <si>
    <t>2021-06-27T21:48:12</t>
  </si>
  <si>
    <t>2021-06-28T02:45:42</t>
  </si>
  <si>
    <t>2021-07-01T21:45:46</t>
  </si>
  <si>
    <t>2021-07-02T02:05:42</t>
  </si>
  <si>
    <t>2014-09-20T20:49:18</t>
  </si>
  <si>
    <t>2014-09-20T23:10:11</t>
  </si>
  <si>
    <t>2020-07-24T21:41:25</t>
  </si>
  <si>
    <t>2020-07-24T22:18:11</t>
  </si>
  <si>
    <t>2014-03-22T17:37:25</t>
  </si>
  <si>
    <t>2014-03-22T17:40:39</t>
  </si>
  <si>
    <t>2014-04-25T22:41:01</t>
  </si>
  <si>
    <t>2014-04-25T22:41:37</t>
  </si>
  <si>
    <t>2014-03-22T17:41:51</t>
  </si>
  <si>
    <t>2014-03-22T17:44:28</t>
  </si>
  <si>
    <t>2009-03-23T10:03:16</t>
  </si>
  <si>
    <t>2009-03-23T11:43:33</t>
  </si>
  <si>
    <t>2009-04-04T14:31:22</t>
  </si>
  <si>
    <t>2009-04-04T15:49:58</t>
  </si>
  <si>
    <t>2009-03-23T12:37:53</t>
  </si>
  <si>
    <t>2009-03-23T13:41:27</t>
  </si>
  <si>
    <t>2009-03-26T16:38:17</t>
  </si>
  <si>
    <t>2009-03-26T17:23:04</t>
  </si>
  <si>
    <t>2009-03-26T17:34:18</t>
  </si>
  <si>
    <t>2009-03-26T18:30:21</t>
  </si>
  <si>
    <t>1989-08-16T17:21:12</t>
  </si>
  <si>
    <t>1989-08-16T17:30:12</t>
  </si>
  <si>
    <t>1992-10-23T15:58:36</t>
  </si>
  <si>
    <t>1992-10-23T15:59:54</t>
  </si>
  <si>
    <t>2019-10-29T00:26:44</t>
  </si>
  <si>
    <t>2019-10-29T00:58:18</t>
  </si>
  <si>
    <t>2002-04-21T13:30:27</t>
  </si>
  <si>
    <t>2002-04-21T13:58:33</t>
  </si>
  <si>
    <t>2019-08-06T01:44:32</t>
  </si>
  <si>
    <t>2019-08-06T03:12:34</t>
  </si>
  <si>
    <t>2017-12-16T12:02:13</t>
  </si>
  <si>
    <t>2017-12-16T12:07:06</t>
  </si>
  <si>
    <t>2015-08-19T21:04:40</t>
  </si>
  <si>
    <t>2015-08-20T02:36:40</t>
  </si>
  <si>
    <t>2015-08-22T23:58:20</t>
  </si>
  <si>
    <t>2015-08-23T01:47:27</t>
  </si>
  <si>
    <t>2015-08-20T20:47:12</t>
  </si>
  <si>
    <t>2015-08-20T21:34:36</t>
  </si>
  <si>
    <t>2021-07-27T17:22:15</t>
  </si>
  <si>
    <t>2021-07-28T02:59:15</t>
  </si>
  <si>
    <t>2021-09-10T08:02:31</t>
  </si>
  <si>
    <t>2021-09-10T14:14:12</t>
  </si>
  <si>
    <t>Catchment</t>
  </si>
  <si>
    <t>Casamicciola</t>
  </si>
  <si>
    <t>Gadria</t>
  </si>
  <si>
    <t>Hsiaolin</t>
  </si>
  <si>
    <t>Oso</t>
  </si>
  <si>
    <t>Mount_Shasta</t>
  </si>
  <si>
    <t>Chalk_Cliffs</t>
  </si>
  <si>
    <t>Chaos_Canyon</t>
  </si>
  <si>
    <t>Chehalis_Lake</t>
  </si>
  <si>
    <t>Montecito_subevent</t>
  </si>
  <si>
    <t>Mount_Adams</t>
  </si>
  <si>
    <t>Mount_Baker</t>
  </si>
  <si>
    <t>Mount_Joffre</t>
  </si>
  <si>
    <t>Mount_Meager</t>
  </si>
  <si>
    <t>Mount_Rainier</t>
  </si>
  <si>
    <t>Mount_Spurr</t>
  </si>
  <si>
    <t>Mount_St_Helens</t>
  </si>
  <si>
    <t>Museum_Fire</t>
  </si>
  <si>
    <t>Swift_No2_Dam</t>
  </si>
  <si>
    <t>Villa_Santa_Lucía</t>
  </si>
  <si>
    <t>Mount_Hood</t>
  </si>
  <si>
    <t>Where</t>
  </si>
  <si>
    <t>North_American</t>
  </si>
  <si>
    <t>D</t>
  </si>
  <si>
    <t>South_American</t>
  </si>
  <si>
    <t>European</t>
  </si>
  <si>
    <t>Asian</t>
  </si>
  <si>
    <t>Continent</t>
  </si>
  <si>
    <t>Location</t>
  </si>
  <si>
    <t>02</t>
  </si>
  <si>
    <t>00</t>
  </si>
  <si>
    <t>01</t>
  </si>
  <si>
    <t>empty</t>
  </si>
  <si>
    <t>Start-time</t>
  </si>
  <si>
    <t>End-time</t>
  </si>
  <si>
    <t>Zendo</t>
  </si>
  <si>
    <t>theghub</t>
  </si>
  <si>
    <t>Dongchuan</t>
  </si>
  <si>
    <t>Bothekoshi</t>
  </si>
  <si>
    <t>Oceania</t>
  </si>
  <si>
    <t>rock fall-debris avalanche</t>
  </si>
  <si>
    <t>lahar-explosions</t>
  </si>
  <si>
    <t>dam failure-outburst flood</t>
  </si>
  <si>
    <t>debris avalanche-pyroclastic density current</t>
  </si>
  <si>
    <t>debris avalanche-debris flow</t>
  </si>
  <si>
    <t>Name</t>
  </si>
  <si>
    <t>Event-id</t>
  </si>
  <si>
    <t>Villa_Santa</t>
  </si>
  <si>
    <t>Original-Start-time</t>
  </si>
  <si>
    <t>Original-End-time</t>
  </si>
  <si>
    <t>distance &gt; 10 km, cyclical noise</t>
  </si>
  <si>
    <t>no</t>
  </si>
  <si>
    <t>NCEDC</t>
  </si>
  <si>
    <t>CKT</t>
  </si>
  <si>
    <t xml:space="preserve"> traces with same ids but differing sampling rates</t>
  </si>
  <si>
    <t>2009-03-23T12:27:00</t>
  </si>
  <si>
    <t>2009-03-26T17:00:00</t>
  </si>
  <si>
    <t>2009-03-26T17:20:00</t>
  </si>
  <si>
    <t>2009-03-26T17:40:00</t>
  </si>
  <si>
    <t>Amplitude saturation/clipping due to small gain</t>
  </si>
  <si>
    <t>Start-time (red means re-label)</t>
  </si>
  <si>
    <t>2009-03-26T16:17:00</t>
  </si>
  <si>
    <t>2009-04-04T13:55:00</t>
  </si>
  <si>
    <t>2009-03-23T09:35:00</t>
  </si>
  <si>
    <t>Distance (km)</t>
  </si>
  <si>
    <t>2017-05-29T17:50:00</t>
  </si>
  <si>
    <t>2017-06-03T20:10:00</t>
  </si>
  <si>
    <t>2017-06-03T21:30:00</t>
  </si>
  <si>
    <t>2017-06-03T23:20:00</t>
  </si>
  <si>
    <t>2017-06-04T00:15:00</t>
  </si>
  <si>
    <t>2018-06-12T20:00:00</t>
  </si>
  <si>
    <t>2019-06-10T19:20:00</t>
  </si>
  <si>
    <t>2019-06-10T21:50:00</t>
  </si>
  <si>
    <t>2019-07-03T16:30:00</t>
  </si>
  <si>
    <t>2020-06-04T17:45:00</t>
  </si>
  <si>
    <t>2020-06-07T09:15:00</t>
  </si>
  <si>
    <t>2020-06-08T16:45:00</t>
  </si>
  <si>
    <t>2020-06-08T18:00:00</t>
  </si>
  <si>
    <t>2020-08-30T11:15:00</t>
  </si>
  <si>
    <t>2009-09-16T00:10:00</t>
  </si>
  <si>
    <t>2021-07-01T21:30:00</t>
  </si>
  <si>
    <t>DF_WSL</t>
  </si>
  <si>
    <t>DF_GFZ</t>
  </si>
  <si>
    <t>DF_1_WSL</t>
  </si>
  <si>
    <t>DF_2_WSL</t>
  </si>
  <si>
    <t>Type (debris flow = DF)</t>
  </si>
  <si>
    <t>debris slide-DF</t>
  </si>
  <si>
    <t>rock avalanche-DF</t>
  </si>
  <si>
    <t>rock slide-DF</t>
  </si>
  <si>
    <t>outburst flood-DF</t>
  </si>
  <si>
    <t>debris avalanche-flow-DF</t>
  </si>
  <si>
    <t>no station GPS avaiable, this is the catchment GPS</t>
  </si>
  <si>
    <t>2014-04-30T11:00:00</t>
  </si>
  <si>
    <t>2014-05-24T16:00:00</t>
  </si>
  <si>
    <t>2014-05-27T11:00:00</t>
  </si>
  <si>
    <t>2014-07-24T02:00:00</t>
  </si>
  <si>
    <t>2014-07-28T21:00:00</t>
  </si>
  <si>
    <t>2014-08-11T00:00:00</t>
  </si>
  <si>
    <t>2014-08-13T03:00:00</t>
  </si>
  <si>
    <t>2014-09-08T21:30:00</t>
  </si>
  <si>
    <t>2020-06-16T22:00:00</t>
  </si>
  <si>
    <t>2020-06-17T06:00:00</t>
  </si>
  <si>
    <t>2020-07-28T16:30:00</t>
  </si>
  <si>
    <t>2020-07-28T18:30:00</t>
  </si>
  <si>
    <t>2022-09-08T02:00:00</t>
  </si>
  <si>
    <t>2022-07-15T12:00:00</t>
  </si>
  <si>
    <t>2009-09-06T20:08:00</t>
  </si>
  <si>
    <t>2016-07-05T15:00:00</t>
  </si>
  <si>
    <t>2007-03-18T00:15:00</t>
  </si>
  <si>
    <t>2013-05-31T09:52:00</t>
  </si>
  <si>
    <t>contains cyclical noise</t>
  </si>
  <si>
    <t>2021-07-01T21:25:00</t>
  </si>
  <si>
    <t>2014-09-10T19:18:00</t>
  </si>
  <si>
    <t>2016-08-16T08:10:00</t>
  </si>
  <si>
    <t>2014-03-22T17:37:00</t>
  </si>
  <si>
    <t>2014-07-08T05:00:00</t>
  </si>
  <si>
    <t>2013-07-29T07:15:00</t>
  </si>
  <si>
    <t>2013-07-29T08:30:00</t>
  </si>
  <si>
    <t>F1_WSL</t>
  </si>
  <si>
    <t>F2_WSL</t>
  </si>
  <si>
    <t>F3_WSL</t>
  </si>
  <si>
    <t>2014-05-24T11:00:00</t>
  </si>
  <si>
    <t>2014-07-20T22:30:00</t>
  </si>
  <si>
    <t>2020-06-17T01:30:00</t>
  </si>
  <si>
    <t>2020-06-17T03:00:00</t>
  </si>
  <si>
    <t>DF1_WSL</t>
  </si>
  <si>
    <t>DF2_WSL</t>
  </si>
  <si>
    <t>DF3_WSL</t>
  </si>
  <si>
    <t>DF1_GFZ</t>
  </si>
  <si>
    <t>DF2_GFZ</t>
  </si>
  <si>
    <t>2013-07-29T12:15:00</t>
  </si>
  <si>
    <t>2013-07-29T12:00:00</t>
  </si>
  <si>
    <t>2014-04-08T06:00:00</t>
  </si>
  <si>
    <t>2014-05-23T04:00:00</t>
  </si>
  <si>
    <t>2014-05-23T06:00:00</t>
  </si>
  <si>
    <t>2014-06-23T19:30:00</t>
  </si>
  <si>
    <t>2014-06-23T17:30:00</t>
  </si>
  <si>
    <t>2014-07-12T17:00:00</t>
  </si>
  <si>
    <t>2014-07-21T01:00:00</t>
  </si>
  <si>
    <t>2014-07-28T22:00:00</t>
  </si>
  <si>
    <t>2018-07-25T16:45:00</t>
  </si>
  <si>
    <t>2019-06-10T17:00:00</t>
  </si>
  <si>
    <t>2019-07-03T18:00:00</t>
  </si>
  <si>
    <t>2019-07-15T03:30:00</t>
  </si>
  <si>
    <t>2019-07-26T17:30:00</t>
  </si>
  <si>
    <t>2019-08-11T16:45:00</t>
  </si>
  <si>
    <t>2019-08-11T17:45:00</t>
  </si>
  <si>
    <t>2019-08-20T16:30:00</t>
  </si>
  <si>
    <t>2019-10-15T16:00:00</t>
  </si>
  <si>
    <t>2020-06-04T15:00:00</t>
  </si>
  <si>
    <t>2020-06-07T07:30:00</t>
  </si>
  <si>
    <t>2020-06-08T15:30:00</t>
  </si>
  <si>
    <t>2020-06-17T01:20:00</t>
  </si>
  <si>
    <t>2020-06-29T04:30:00</t>
  </si>
  <si>
    <t>2022-06-30T20:20:00</t>
  </si>
  <si>
    <t>2021-07-16T20:30:00</t>
  </si>
  <si>
    <t>2021-07-16T20:25:00</t>
  </si>
  <si>
    <t>2022-07-15T14:50:00</t>
  </si>
  <si>
    <t>2022-08-18T10:45:00</t>
  </si>
  <si>
    <t>2003-08-15T15:15:00</t>
  </si>
  <si>
    <t>2007-03-18T06:30:00</t>
  </si>
  <si>
    <t>2014-08-01T21:20:00</t>
  </si>
  <si>
    <t>2015-08-19T20:50:00</t>
  </si>
  <si>
    <t>2015-08-22T23:45:00</t>
  </si>
  <si>
    <t>2015-08-20T20:35:00</t>
  </si>
  <si>
    <t>2015-08-13T16:30:00</t>
  </si>
  <si>
    <t>2019-08-06T01:30:00</t>
  </si>
  <si>
    <t>2021-06-27T21:00:00</t>
  </si>
  <si>
    <t>2021-07-27T17:00:00</t>
  </si>
  <si>
    <t>2021-09-10T14:45:00</t>
  </si>
  <si>
    <t>2021-09-10T07:45:00</t>
  </si>
  <si>
    <t>2016-08-16T10:50:00</t>
  </si>
  <si>
    <t>2014-03-22T17:40:00</t>
  </si>
  <si>
    <t>2009-04-04T13:50:00</t>
  </si>
  <si>
    <t>2019-10-29T00:15:00</t>
  </si>
  <si>
    <t>2019-10-15T19:00:00</t>
  </si>
  <si>
    <t>2022-07-11T09:15:00</t>
  </si>
  <si>
    <t>2022-07-11T12:45:00</t>
  </si>
  <si>
    <t>2022-07-21T13:15:00</t>
  </si>
  <si>
    <t>2022-07-21T16:00:00</t>
  </si>
  <si>
    <t>2014-07-29T02:00:00</t>
  </si>
  <si>
    <t>Overlap with another one</t>
  </si>
  <si>
    <t>not SAC or MSEED, manually convert to m/s, not longer enough data before the event to test the model</t>
  </si>
  <si>
    <t>2003-08-15T13:00:00</t>
  </si>
  <si>
    <t>2020-07-24T22:00:00</t>
  </si>
  <si>
    <t>2020-07-24T22:20:00</t>
  </si>
  <si>
    <t>2014-08-01T21:45:00</t>
  </si>
  <si>
    <t>BOC2</t>
  </si>
  <si>
    <t>DF1</t>
  </si>
  <si>
    <t>DF2</t>
  </si>
  <si>
    <t>2022-08-19T03:07:00</t>
  </si>
  <si>
    <t>2022-08-19T05:26:00</t>
  </si>
  <si>
    <t>2022-08-19T07:25:00</t>
  </si>
  <si>
    <t>2022-08-19T11:24:00</t>
  </si>
  <si>
    <t>no station GPS avaiable, this is the catchment GPS, UTC+8</t>
  </si>
  <si>
    <t>EG2</t>
  </si>
  <si>
    <t>2022-08-18T18:44:00</t>
  </si>
  <si>
    <t>2022-08-18T20:49:00</t>
  </si>
  <si>
    <t>no station GPS avaiable, this is the catchment GPS, UTC+0</t>
  </si>
  <si>
    <t>Quality_freq</t>
  </si>
  <si>
    <t>low</t>
  </si>
  <si>
    <t>high</t>
  </si>
  <si>
    <t>medium</t>
  </si>
  <si>
    <t>longitude_sta</t>
  </si>
  <si>
    <t>Quality_time</t>
  </si>
  <si>
    <t>Reference_DOI</t>
  </si>
  <si>
    <t>Event ID in EX</t>
  </si>
  <si>
    <t>Tianmo</t>
  </si>
  <si>
    <t>Zenodo</t>
  </si>
  <si>
    <t>DOI of Zenodo or link</t>
  </si>
  <si>
    <t>measure by google earth</t>
  </si>
  <si>
    <t>USGS</t>
  </si>
  <si>
    <t>inst = 32 # instrument response [mV/mm/s]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</si>
</sst>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Tahoma"/>
      <family val="2"/>
    </font>
    <font>
      <sz val="12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2"/>
      <color rgb="FFFF0000"/>
      <name val="Calibri"/>
      <family val="2"/>
    </font>
    <font>
      <sz val="12"/>
      <color rgb="FFFF0000"/>
      <name val="Calibri (Body)"/>
    </font>
    <font>
      <i/>
      <sz val="12"/>
      <color rgb="FFFF0000"/>
      <name val="Calibri (Body)"/>
    </font>
    <font>
      <i/>
      <sz val="12"/>
      <color theme="1"/>
      <name val="Calibri"/>
      <family val="2"/>
    </font>
    <font>
      <i/>
      <sz val="12"/>
      <color theme="6"/>
      <name val="Calibri"/>
      <family val="2"/>
      <scheme val="minor"/>
    </font>
    <font>
      <sz val="11"/>
      <color theme="6"/>
      <name val="Calibri"/>
      <family val="2"/>
      <scheme val="minor"/>
    </font>
    <font>
      <sz val="12"/>
      <color theme="1"/>
      <name val="Calibri (Body)"/>
    </font>
    <font>
      <i/>
      <sz val="12"/>
      <color theme="1"/>
      <name val="Calibri (Body)"/>
    </font>
    <font>
      <sz val="12"/>
      <color theme="6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</font>
    <font>
      <sz val="12"/>
      <color rgb="FFFF0000"/>
      <name val="Calibri"/>
      <family val="2"/>
    </font>
    <font>
      <b/>
      <sz val="12"/>
      <color theme="9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2"/>
      <color theme="1"/>
      <name val="Calibri (Body)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0" xfId="0" applyFont="1"/>
    <xf numFmtId="0" fontId="5" fillId="0" borderId="0" xfId="0" applyFont="1" applyAlignment="1">
      <alignment horizontal="left"/>
    </xf>
    <xf numFmtId="0" fontId="0" fillId="0" borderId="0" xfId="0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14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18" fillId="0" borderId="0" xfId="0" applyFont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250F3-92E4-9549-A0F7-7F2BE16AB618}">
  <dimension ref="A1:O15"/>
  <sheetViews>
    <sheetView topLeftCell="A2" zoomScale="115" workbookViewId="0">
      <selection activeCell="N13" sqref="N13"/>
    </sheetView>
  </sheetViews>
  <sheetFormatPr baseColWidth="10" defaultRowHeight="16" x14ac:dyDescent="0.2"/>
  <cols>
    <col min="1" max="1" width="5.83203125" style="2" bestFit="1" customWidth="1"/>
    <col min="2" max="2" width="8.1640625" style="2" customWidth="1"/>
    <col min="3" max="3" width="10.83203125" style="2" customWidth="1"/>
    <col min="4" max="4" width="11.6640625" style="2" bestFit="1" customWidth="1"/>
    <col min="5" max="5" width="10.83203125" style="2" bestFit="1" customWidth="1"/>
    <col min="6" max="7" width="10.83203125" style="2" customWidth="1"/>
    <col min="8" max="8" width="8.33203125" style="2" bestFit="1" customWidth="1"/>
    <col min="9" max="9" width="11.1640625" style="2" bestFit="1" customWidth="1"/>
    <col min="10" max="10" width="10.83203125" style="2" customWidth="1"/>
    <col min="11" max="11" width="10" style="2" bestFit="1" customWidth="1"/>
    <col min="12" max="12" width="19.5" style="2" customWidth="1"/>
    <col min="13" max="13" width="17.6640625" style="2" customWidth="1"/>
    <col min="14" max="14" width="14.6640625" style="3" customWidth="1"/>
    <col min="15" max="15" width="14" style="2" bestFit="1" customWidth="1"/>
    <col min="16" max="16384" width="10.83203125" style="2"/>
  </cols>
  <sheetData>
    <row r="1" spans="1:15" s="1" customFormat="1" ht="52" customHeight="1" x14ac:dyDescent="0.2">
      <c r="A1" s="1" t="s">
        <v>0</v>
      </c>
      <c r="B1" s="4" t="s">
        <v>94</v>
      </c>
      <c r="C1" s="4" t="s">
        <v>81</v>
      </c>
      <c r="D1" s="4" t="s">
        <v>23</v>
      </c>
      <c r="E1" s="1" t="s">
        <v>24</v>
      </c>
      <c r="F1" s="4" t="s">
        <v>91</v>
      </c>
      <c r="G1" s="4" t="s">
        <v>92</v>
      </c>
      <c r="H1" s="4" t="s">
        <v>25</v>
      </c>
      <c r="I1" s="4" t="s">
        <v>26</v>
      </c>
      <c r="J1" s="1" t="s">
        <v>27</v>
      </c>
      <c r="K1" s="4" t="s">
        <v>82</v>
      </c>
      <c r="L1" s="4" t="s">
        <v>86</v>
      </c>
      <c r="M1" s="4" t="s">
        <v>28</v>
      </c>
      <c r="N1" s="4" t="s">
        <v>101</v>
      </c>
    </row>
    <row r="2" spans="1:15" ht="85" x14ac:dyDescent="0.2">
      <c r="A2" s="2">
        <v>1</v>
      </c>
      <c r="B2" s="2" t="s">
        <v>95</v>
      </c>
      <c r="C2" s="3" t="s">
        <v>100</v>
      </c>
      <c r="D2" s="2" t="s">
        <v>29</v>
      </c>
      <c r="E2" s="2" t="s">
        <v>30</v>
      </c>
      <c r="F2" s="2">
        <v>11.7</v>
      </c>
      <c r="G2" s="2">
        <v>5.5</v>
      </c>
      <c r="H2" s="2" t="s">
        <v>11</v>
      </c>
      <c r="I2" s="2" t="s">
        <v>12</v>
      </c>
      <c r="J2" s="2" t="s">
        <v>13</v>
      </c>
      <c r="K2" s="2">
        <v>100</v>
      </c>
      <c r="L2" s="3" t="s">
        <v>99</v>
      </c>
      <c r="N2" s="3" t="s">
        <v>89</v>
      </c>
    </row>
    <row r="3" spans="1:15" ht="85" x14ac:dyDescent="0.2">
      <c r="A3" s="2">
        <v>2</v>
      </c>
      <c r="B3" s="2" t="s">
        <v>95</v>
      </c>
      <c r="C3" s="3" t="s">
        <v>80</v>
      </c>
      <c r="D3" s="2" t="s">
        <v>29</v>
      </c>
      <c r="E3" s="2" t="s">
        <v>30</v>
      </c>
      <c r="F3" s="2">
        <v>11.7</v>
      </c>
      <c r="G3" s="2">
        <v>5.5</v>
      </c>
      <c r="H3" s="2" t="s">
        <v>9</v>
      </c>
      <c r="I3" s="2" t="s">
        <v>10</v>
      </c>
      <c r="J3" s="2" t="s">
        <v>14</v>
      </c>
      <c r="K3" s="2">
        <v>100</v>
      </c>
      <c r="L3" s="3" t="s">
        <v>98</v>
      </c>
      <c r="M3" s="2" t="s">
        <v>32</v>
      </c>
      <c r="N3" s="3" t="s">
        <v>89</v>
      </c>
    </row>
    <row r="4" spans="1:15" ht="34" x14ac:dyDescent="0.2">
      <c r="A4" s="2">
        <v>3</v>
      </c>
      <c r="B4" s="2" t="s">
        <v>95</v>
      </c>
      <c r="C4" s="3" t="s">
        <v>39</v>
      </c>
      <c r="D4" s="3" t="s">
        <v>46</v>
      </c>
      <c r="E4" s="2" t="s">
        <v>42</v>
      </c>
      <c r="H4" s="2" t="s">
        <v>3</v>
      </c>
      <c r="I4" s="3" t="s">
        <v>2</v>
      </c>
      <c r="J4" s="2" t="s">
        <v>18</v>
      </c>
      <c r="K4" s="2">
        <v>500</v>
      </c>
      <c r="L4" s="3" t="s">
        <v>47</v>
      </c>
      <c r="M4" s="2" t="s">
        <v>48</v>
      </c>
    </row>
    <row r="5" spans="1:15" ht="34" x14ac:dyDescent="0.2">
      <c r="A5" s="2">
        <v>4</v>
      </c>
      <c r="B5" s="2" t="s">
        <v>95</v>
      </c>
      <c r="C5" s="3" t="s">
        <v>50</v>
      </c>
      <c r="D5" s="2" t="s">
        <v>49</v>
      </c>
      <c r="E5" s="2" t="s">
        <v>42</v>
      </c>
      <c r="H5" s="2" t="s">
        <v>4</v>
      </c>
      <c r="I5" s="2" t="s">
        <v>5</v>
      </c>
      <c r="J5" s="2" t="s">
        <v>13</v>
      </c>
      <c r="K5" s="2">
        <v>100</v>
      </c>
      <c r="L5" s="3" t="s">
        <v>87</v>
      </c>
      <c r="M5" s="2" t="s">
        <v>79</v>
      </c>
    </row>
    <row r="6" spans="1:15" ht="85" x14ac:dyDescent="0.2">
      <c r="A6" s="2">
        <v>5</v>
      </c>
      <c r="B6" s="2" t="s">
        <v>97</v>
      </c>
      <c r="C6" s="3" t="s">
        <v>54</v>
      </c>
      <c r="D6" s="2" t="s">
        <v>51</v>
      </c>
      <c r="E6" s="2" t="s">
        <v>52</v>
      </c>
      <c r="F6" s="2">
        <v>48.6</v>
      </c>
      <c r="G6" s="2">
        <v>15</v>
      </c>
      <c r="H6" s="2" t="s">
        <v>8</v>
      </c>
      <c r="I6" s="3" t="s">
        <v>84</v>
      </c>
      <c r="J6" s="2" t="s">
        <v>16</v>
      </c>
      <c r="K6" s="2">
        <v>100</v>
      </c>
      <c r="L6" s="3" t="s">
        <v>53</v>
      </c>
      <c r="M6" s="2" t="s">
        <v>55</v>
      </c>
      <c r="N6" s="3" t="s">
        <v>102</v>
      </c>
    </row>
    <row r="7" spans="1:15" ht="85" x14ac:dyDescent="0.2">
      <c r="A7" s="2">
        <v>6</v>
      </c>
      <c r="B7" s="2" t="s">
        <v>97</v>
      </c>
      <c r="C7" s="3" t="s">
        <v>50</v>
      </c>
      <c r="D7" s="2" t="s">
        <v>56</v>
      </c>
      <c r="E7" s="2" t="s">
        <v>52</v>
      </c>
      <c r="F7" s="2" t="s">
        <v>88</v>
      </c>
      <c r="G7" s="2" t="s">
        <v>93</v>
      </c>
      <c r="H7" s="2" t="s">
        <v>7</v>
      </c>
      <c r="I7" s="2" t="s">
        <v>57</v>
      </c>
      <c r="J7" s="2" t="s">
        <v>13</v>
      </c>
      <c r="K7" s="2">
        <v>100</v>
      </c>
      <c r="L7" s="3" t="s">
        <v>58</v>
      </c>
      <c r="M7" s="2" t="s">
        <v>59</v>
      </c>
      <c r="N7" s="3" t="s">
        <v>89</v>
      </c>
    </row>
    <row r="8" spans="1:15" ht="34" x14ac:dyDescent="0.2">
      <c r="A8" s="2">
        <v>7</v>
      </c>
      <c r="B8" s="2" t="s">
        <v>97</v>
      </c>
      <c r="C8" s="3" t="s">
        <v>50</v>
      </c>
      <c r="D8" s="2" t="s">
        <v>60</v>
      </c>
      <c r="E8" s="2" t="s">
        <v>52</v>
      </c>
      <c r="H8" s="2" t="s">
        <v>7</v>
      </c>
      <c r="I8" s="2" t="s">
        <v>61</v>
      </c>
      <c r="J8" s="2" t="s">
        <v>16</v>
      </c>
      <c r="K8" s="2">
        <v>100</v>
      </c>
      <c r="L8" s="3" t="s">
        <v>58</v>
      </c>
      <c r="M8" s="2" t="s">
        <v>59</v>
      </c>
    </row>
    <row r="9" spans="1:15" ht="34" x14ac:dyDescent="0.2">
      <c r="A9" s="2">
        <v>8</v>
      </c>
      <c r="B9" s="2" t="s">
        <v>96</v>
      </c>
      <c r="C9" s="3" t="s">
        <v>31</v>
      </c>
      <c r="D9" s="2" t="s">
        <v>62</v>
      </c>
      <c r="E9" s="2" t="s">
        <v>52</v>
      </c>
      <c r="F9" s="2">
        <v>20</v>
      </c>
      <c r="G9" s="2">
        <v>6.5</v>
      </c>
      <c r="H9" s="2" t="s">
        <v>6</v>
      </c>
      <c r="I9" s="2" t="s">
        <v>63</v>
      </c>
      <c r="J9" s="2" t="s">
        <v>15</v>
      </c>
      <c r="K9" s="2">
        <v>200</v>
      </c>
      <c r="L9" s="3" t="s">
        <v>64</v>
      </c>
      <c r="M9" s="2" t="s">
        <v>65</v>
      </c>
    </row>
    <row r="10" spans="1:15" ht="34" x14ac:dyDescent="0.2">
      <c r="A10" s="2">
        <v>9</v>
      </c>
      <c r="B10" s="2" t="s">
        <v>95</v>
      </c>
      <c r="C10" s="3" t="s">
        <v>54</v>
      </c>
      <c r="D10" s="2" t="s">
        <v>66</v>
      </c>
      <c r="E10" s="2" t="s">
        <v>67</v>
      </c>
      <c r="H10" s="2" t="s">
        <v>19</v>
      </c>
      <c r="I10" s="2" t="s">
        <v>20</v>
      </c>
      <c r="J10" s="2" t="s">
        <v>16</v>
      </c>
      <c r="K10" s="2">
        <v>50</v>
      </c>
      <c r="L10" s="3" t="s">
        <v>68</v>
      </c>
      <c r="M10" s="2" t="s">
        <v>69</v>
      </c>
    </row>
    <row r="11" spans="1:15" ht="34" x14ac:dyDescent="0.2">
      <c r="A11" s="2">
        <v>10</v>
      </c>
      <c r="B11" s="2" t="s">
        <v>95</v>
      </c>
      <c r="C11" s="3" t="s">
        <v>73</v>
      </c>
      <c r="D11" s="2" t="s">
        <v>70</v>
      </c>
      <c r="E11" s="2" t="s">
        <v>67</v>
      </c>
      <c r="H11" s="2" t="s">
        <v>22</v>
      </c>
      <c r="I11" s="2" t="s">
        <v>71</v>
      </c>
      <c r="J11" s="2" t="s">
        <v>13</v>
      </c>
      <c r="K11" s="2">
        <v>100</v>
      </c>
      <c r="L11" s="3" t="s">
        <v>72</v>
      </c>
      <c r="M11" s="2" t="s">
        <v>74</v>
      </c>
    </row>
    <row r="12" spans="1:15" ht="51" x14ac:dyDescent="0.2">
      <c r="A12" s="2">
        <v>11</v>
      </c>
      <c r="B12" s="2" t="s">
        <v>96</v>
      </c>
      <c r="C12" s="3" t="s">
        <v>39</v>
      </c>
      <c r="D12" s="2" t="s">
        <v>33</v>
      </c>
      <c r="E12" s="2" t="s">
        <v>34</v>
      </c>
      <c r="F12" s="2">
        <v>6.3</v>
      </c>
      <c r="G12" s="2">
        <v>3</v>
      </c>
      <c r="H12" s="2" t="s">
        <v>35</v>
      </c>
      <c r="I12" s="3" t="s">
        <v>36</v>
      </c>
      <c r="J12" s="2" t="s">
        <v>37</v>
      </c>
      <c r="K12" s="2">
        <v>2</v>
      </c>
      <c r="L12" s="3" t="s">
        <v>38</v>
      </c>
      <c r="M12" s="2" t="s">
        <v>40</v>
      </c>
    </row>
    <row r="13" spans="1:15" ht="85" x14ac:dyDescent="0.2">
      <c r="A13" s="2">
        <v>12</v>
      </c>
      <c r="B13" s="2" t="s">
        <v>96</v>
      </c>
      <c r="C13" s="3" t="s">
        <v>44</v>
      </c>
      <c r="D13" s="3" t="s">
        <v>41</v>
      </c>
      <c r="E13" s="2" t="s">
        <v>42</v>
      </c>
      <c r="F13" s="2">
        <v>0.3</v>
      </c>
      <c r="G13" s="2">
        <v>1</v>
      </c>
      <c r="H13" s="2" t="s">
        <v>1</v>
      </c>
      <c r="I13" s="3" t="s">
        <v>83</v>
      </c>
      <c r="J13" s="2" t="s">
        <v>17</v>
      </c>
      <c r="K13" s="2">
        <v>100</v>
      </c>
      <c r="L13" s="3" t="s">
        <v>43</v>
      </c>
      <c r="M13" s="2" t="s">
        <v>45</v>
      </c>
      <c r="N13" s="5" t="s">
        <v>90</v>
      </c>
    </row>
    <row r="14" spans="1:15" ht="57" customHeight="1" x14ac:dyDescent="0.2">
      <c r="A14" s="2">
        <v>13</v>
      </c>
      <c r="B14" s="2" t="s">
        <v>96</v>
      </c>
      <c r="C14" s="3" t="s">
        <v>73</v>
      </c>
      <c r="D14" s="2" t="s">
        <v>75</v>
      </c>
      <c r="E14" s="3" t="s">
        <v>76</v>
      </c>
      <c r="F14" s="3"/>
      <c r="G14" s="3"/>
      <c r="H14" s="2" t="s">
        <v>21</v>
      </c>
      <c r="I14" s="3" t="s">
        <v>85</v>
      </c>
      <c r="J14" s="2" t="s">
        <v>16</v>
      </c>
      <c r="K14" s="2">
        <v>100</v>
      </c>
      <c r="L14" s="3" t="s">
        <v>77</v>
      </c>
      <c r="M14" s="2" t="s">
        <v>78</v>
      </c>
    </row>
    <row r="15" spans="1:15" ht="39" customHeight="1" x14ac:dyDescent="0.2">
      <c r="B15" s="2" t="s">
        <v>95</v>
      </c>
      <c r="C15" s="3" t="s">
        <v>39</v>
      </c>
      <c r="D15" s="2" t="s">
        <v>103</v>
      </c>
      <c r="E15" s="2" t="s">
        <v>42</v>
      </c>
      <c r="H15" s="2" t="s">
        <v>104</v>
      </c>
      <c r="I15" s="2" t="s">
        <v>105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9A314-014C-3F46-8D85-7D33255E886D}">
  <dimension ref="A1:BF291"/>
  <sheetViews>
    <sheetView zoomScale="89" workbookViewId="0">
      <selection activeCell="J17" sqref="J17"/>
    </sheetView>
  </sheetViews>
  <sheetFormatPr baseColWidth="10" defaultRowHeight="16" x14ac:dyDescent="0.2"/>
  <cols>
    <col min="1" max="5" width="10.83203125" customWidth="1"/>
    <col min="6" max="6" width="4.6640625" customWidth="1"/>
    <col min="7" max="7" width="0.1640625" customWidth="1"/>
    <col min="9" max="16" width="10.83203125" customWidth="1"/>
    <col min="17" max="17" width="13" customWidth="1"/>
    <col min="19" max="19" width="10.83203125" customWidth="1"/>
    <col min="21" max="35" width="10.83203125" customWidth="1"/>
    <col min="36" max="36" width="42.1640625" bestFit="1" customWidth="1"/>
    <col min="38" max="38" width="42.1640625" customWidth="1"/>
    <col min="39" max="45" width="10.83203125" customWidth="1"/>
    <col min="46" max="46" width="24.6640625" customWidth="1"/>
    <col min="47" max="47" width="255.83203125" customWidth="1"/>
    <col min="48" max="48" width="20.1640625" customWidth="1"/>
    <col min="49" max="49" width="9.83203125" customWidth="1"/>
    <col min="50" max="53" width="10.83203125" customWidth="1"/>
    <col min="54" max="54" width="18.83203125" customWidth="1"/>
    <col min="55" max="55" width="32.83203125" bestFit="1" customWidth="1"/>
    <col min="56" max="58" width="10.83203125" customWidth="1"/>
  </cols>
  <sheetData>
    <row r="1" spans="1:58" s="1" customFormat="1" ht="30" customHeight="1" x14ac:dyDescent="0.2">
      <c r="A1" s="1" t="s">
        <v>221</v>
      </c>
      <c r="B1" s="1" t="s">
        <v>222</v>
      </c>
      <c r="C1" s="1" t="s">
        <v>223</v>
      </c>
      <c r="D1" s="1" t="s">
        <v>224</v>
      </c>
      <c r="E1" s="1" t="s">
        <v>225</v>
      </c>
      <c r="F1" s="1" t="s">
        <v>226</v>
      </c>
      <c r="G1" s="1" t="s">
        <v>227</v>
      </c>
      <c r="H1" s="1" t="s">
        <v>229</v>
      </c>
      <c r="I1" s="1" t="s">
        <v>230</v>
      </c>
      <c r="J1" s="1" t="s">
        <v>231</v>
      </c>
      <c r="K1" s="1" t="s">
        <v>232</v>
      </c>
      <c r="L1" s="1" t="s">
        <v>233</v>
      </c>
      <c r="M1" s="1" t="s">
        <v>234</v>
      </c>
      <c r="N1" s="1" t="s">
        <v>235</v>
      </c>
      <c r="O1" s="1" t="s">
        <v>236</v>
      </c>
      <c r="P1" s="1" t="s">
        <v>237</v>
      </c>
      <c r="Q1" s="1" t="s">
        <v>238</v>
      </c>
      <c r="R1" s="1" t="s">
        <v>239</v>
      </c>
      <c r="S1" s="1" t="s">
        <v>240</v>
      </c>
      <c r="T1" s="1" t="s">
        <v>241</v>
      </c>
      <c r="U1" s="1" t="s">
        <v>242</v>
      </c>
      <c r="V1" s="1" t="s">
        <v>243</v>
      </c>
      <c r="W1" s="1" t="s">
        <v>244</v>
      </c>
      <c r="X1" s="1" t="s">
        <v>245</v>
      </c>
      <c r="Y1" s="1" t="s">
        <v>246</v>
      </c>
      <c r="Z1" s="1" t="s">
        <v>247</v>
      </c>
      <c r="AA1" s="1" t="s">
        <v>248</v>
      </c>
      <c r="AB1" s="1" t="s">
        <v>249</v>
      </c>
      <c r="AC1" s="1" t="s">
        <v>250</v>
      </c>
      <c r="AD1" s="1" t="s">
        <v>251</v>
      </c>
      <c r="AE1" s="1" t="s">
        <v>252</v>
      </c>
      <c r="AF1" s="1" t="s">
        <v>253</v>
      </c>
      <c r="AG1" s="1" t="s">
        <v>254</v>
      </c>
      <c r="AH1" s="1" t="s">
        <v>255</v>
      </c>
      <c r="AI1" s="1" t="s">
        <v>256</v>
      </c>
      <c r="AJ1" s="1" t="s">
        <v>106</v>
      </c>
      <c r="AK1" s="1" t="s">
        <v>107</v>
      </c>
      <c r="AL1" s="1" t="s">
        <v>108</v>
      </c>
      <c r="AM1" s="1" t="s">
        <v>257</v>
      </c>
      <c r="AN1" s="1" t="s">
        <v>258</v>
      </c>
      <c r="AO1" s="1" t="s">
        <v>259</v>
      </c>
      <c r="AP1" s="1" t="s">
        <v>260</v>
      </c>
      <c r="AQ1" s="1" t="s">
        <v>261</v>
      </c>
      <c r="AR1" s="1" t="s">
        <v>262</v>
      </c>
      <c r="AS1" s="1" t="s">
        <v>263</v>
      </c>
      <c r="AT1" s="1" t="s">
        <v>109</v>
      </c>
      <c r="AU1" s="1" t="s">
        <v>110</v>
      </c>
      <c r="AV1" s="1" t="s">
        <v>228</v>
      </c>
      <c r="AW1" s="1" t="s">
        <v>111</v>
      </c>
      <c r="AX1" s="1" t="s">
        <v>112</v>
      </c>
      <c r="AY1" s="1" t="s">
        <v>113</v>
      </c>
      <c r="AZ1" s="1" t="s">
        <v>114</v>
      </c>
      <c r="BA1" s="1" t="s">
        <v>115</v>
      </c>
      <c r="BB1" s="1" t="s">
        <v>116</v>
      </c>
      <c r="BC1" s="1" t="s">
        <v>117</v>
      </c>
      <c r="BD1" s="1" t="s">
        <v>264</v>
      </c>
      <c r="BE1" s="1" t="s">
        <v>265</v>
      </c>
      <c r="BF1" s="1" t="s">
        <v>266</v>
      </c>
    </row>
    <row r="2" spans="1:58" x14ac:dyDescent="0.2">
      <c r="A2">
        <v>22000</v>
      </c>
      <c r="B2">
        <v>57000</v>
      </c>
      <c r="D2">
        <v>120000</v>
      </c>
      <c r="E2">
        <v>74</v>
      </c>
      <c r="F2" t="s">
        <v>287</v>
      </c>
      <c r="H2">
        <v>74</v>
      </c>
      <c r="I2">
        <v>560</v>
      </c>
      <c r="O2">
        <v>550</v>
      </c>
      <c r="R2">
        <v>37.752119999999998</v>
      </c>
      <c r="S2">
        <v>0</v>
      </c>
      <c r="T2">
        <v>-119.54105</v>
      </c>
      <c r="U2">
        <v>0</v>
      </c>
      <c r="AA2">
        <v>366</v>
      </c>
      <c r="AB2" t="b">
        <v>1</v>
      </c>
      <c r="AE2">
        <v>0</v>
      </c>
      <c r="AJ2" t="s">
        <v>331</v>
      </c>
      <c r="AM2">
        <v>5</v>
      </c>
      <c r="AT2" t="s">
        <v>332</v>
      </c>
      <c r="AU2" t="s">
        <v>137</v>
      </c>
      <c r="AV2" t="s">
        <v>330</v>
      </c>
      <c r="AW2">
        <v>37.753459999999997</v>
      </c>
      <c r="AX2">
        <v>-119.54335</v>
      </c>
      <c r="AY2">
        <v>37.751069999999999</v>
      </c>
      <c r="AZ2">
        <v>-119.53807999999999</v>
      </c>
      <c r="BB2" t="s">
        <v>284</v>
      </c>
      <c r="BC2" t="s">
        <v>134</v>
      </c>
      <c r="BD2">
        <v>46700</v>
      </c>
    </row>
    <row r="3" spans="1:58" x14ac:dyDescent="0.2">
      <c r="E3">
        <v>256</v>
      </c>
      <c r="F3" t="s">
        <v>428</v>
      </c>
      <c r="H3">
        <v>256</v>
      </c>
      <c r="I3">
        <v>1280</v>
      </c>
      <c r="O3">
        <v>1150</v>
      </c>
      <c r="R3">
        <v>45.932650000000002</v>
      </c>
      <c r="S3">
        <v>0</v>
      </c>
      <c r="T3">
        <v>6.9523799999999998</v>
      </c>
      <c r="U3">
        <v>1</v>
      </c>
      <c r="AA3">
        <v>367</v>
      </c>
      <c r="AB3" t="b">
        <v>0</v>
      </c>
      <c r="AE3">
        <v>367</v>
      </c>
      <c r="AF3" t="b">
        <v>1</v>
      </c>
      <c r="AJ3" t="s">
        <v>757</v>
      </c>
      <c r="AM3">
        <v>3</v>
      </c>
      <c r="AT3" t="s">
        <v>758</v>
      </c>
      <c r="AU3" t="s">
        <v>143</v>
      </c>
      <c r="AV3" t="s">
        <v>756</v>
      </c>
      <c r="BB3" t="s">
        <v>312</v>
      </c>
      <c r="BC3" t="s">
        <v>191</v>
      </c>
      <c r="BD3">
        <v>265000</v>
      </c>
      <c r="BE3">
        <v>318000</v>
      </c>
      <c r="BF3">
        <v>212000</v>
      </c>
    </row>
    <row r="4" spans="1:58" x14ac:dyDescent="0.2">
      <c r="E4">
        <v>152</v>
      </c>
      <c r="F4" t="s">
        <v>853</v>
      </c>
      <c r="H4">
        <v>152</v>
      </c>
      <c r="I4">
        <v>230</v>
      </c>
      <c r="O4">
        <v>4000</v>
      </c>
      <c r="R4">
        <v>-6.1010999999999997</v>
      </c>
      <c r="S4">
        <v>0</v>
      </c>
      <c r="T4">
        <v>105.4194</v>
      </c>
      <c r="U4">
        <v>1</v>
      </c>
      <c r="V4">
        <v>225000000000</v>
      </c>
      <c r="AA4">
        <v>363</v>
      </c>
      <c r="AB4" t="b">
        <v>1</v>
      </c>
      <c r="AE4">
        <v>599</v>
      </c>
      <c r="AF4" t="b">
        <v>1</v>
      </c>
      <c r="AJ4" t="s">
        <v>855</v>
      </c>
      <c r="AM4">
        <v>5</v>
      </c>
      <c r="AT4" t="s">
        <v>856</v>
      </c>
      <c r="AU4" t="s">
        <v>143</v>
      </c>
      <c r="AV4" t="s">
        <v>854</v>
      </c>
      <c r="AY4">
        <v>-6.1010999999999997</v>
      </c>
      <c r="AZ4">
        <v>105.4194</v>
      </c>
      <c r="BB4" t="s">
        <v>857</v>
      </c>
      <c r="BC4" t="s">
        <v>857</v>
      </c>
      <c r="BD4">
        <v>150000000</v>
      </c>
      <c r="BE4">
        <v>330000000</v>
      </c>
      <c r="BF4">
        <v>104000000</v>
      </c>
    </row>
    <row r="5" spans="1:58" x14ac:dyDescent="0.2">
      <c r="E5">
        <v>306</v>
      </c>
      <c r="F5" t="s">
        <v>653</v>
      </c>
      <c r="H5">
        <v>306</v>
      </c>
      <c r="I5">
        <v>1600</v>
      </c>
      <c r="O5">
        <v>2000</v>
      </c>
      <c r="R5">
        <v>46.453499999999998</v>
      </c>
      <c r="S5">
        <v>0</v>
      </c>
      <c r="T5">
        <v>12.2607</v>
      </c>
      <c r="U5">
        <v>1</v>
      </c>
      <c r="AA5">
        <v>382</v>
      </c>
      <c r="AB5" t="b">
        <v>1</v>
      </c>
      <c r="AE5">
        <v>73</v>
      </c>
      <c r="AF5" t="b">
        <v>1</v>
      </c>
      <c r="AJ5" t="s">
        <v>1011</v>
      </c>
      <c r="AM5">
        <v>5</v>
      </c>
      <c r="AT5" t="s">
        <v>1012</v>
      </c>
      <c r="AU5" t="s">
        <v>120</v>
      </c>
      <c r="AV5" t="s">
        <v>1010</v>
      </c>
      <c r="AW5">
        <v>46.464199999999998</v>
      </c>
      <c r="AX5">
        <v>12.2377</v>
      </c>
      <c r="AY5">
        <v>46.453499999999998</v>
      </c>
      <c r="AZ5">
        <v>12.2607</v>
      </c>
      <c r="BB5" t="s">
        <v>303</v>
      </c>
      <c r="BC5" t="s">
        <v>134</v>
      </c>
      <c r="BD5">
        <v>680000</v>
      </c>
    </row>
    <row r="6" spans="1:58" x14ac:dyDescent="0.2">
      <c r="E6">
        <v>281</v>
      </c>
      <c r="F6" t="s">
        <v>285</v>
      </c>
      <c r="H6">
        <v>281</v>
      </c>
      <c r="R6">
        <v>41.409100000000002</v>
      </c>
      <c r="S6">
        <v>0.5</v>
      </c>
      <c r="T6">
        <v>-122.1879</v>
      </c>
      <c r="U6">
        <v>0</v>
      </c>
      <c r="Y6">
        <v>11</v>
      </c>
      <c r="Z6">
        <v>1</v>
      </c>
      <c r="AA6">
        <v>16</v>
      </c>
      <c r="AB6" t="b">
        <v>1</v>
      </c>
      <c r="AE6">
        <v>0</v>
      </c>
      <c r="AG6">
        <v>0</v>
      </c>
      <c r="AJ6" t="s">
        <v>118</v>
      </c>
      <c r="AM6">
        <v>4</v>
      </c>
      <c r="AT6" t="s">
        <v>119</v>
      </c>
      <c r="AU6" t="s">
        <v>120</v>
      </c>
      <c r="AV6" t="s">
        <v>286</v>
      </c>
      <c r="BB6" t="s">
        <v>121</v>
      </c>
      <c r="BC6" t="s">
        <v>122</v>
      </c>
    </row>
    <row r="7" spans="1:58" x14ac:dyDescent="0.2">
      <c r="E7">
        <v>272</v>
      </c>
      <c r="F7" t="s">
        <v>443</v>
      </c>
      <c r="H7">
        <v>272</v>
      </c>
      <c r="O7">
        <v>2100</v>
      </c>
      <c r="R7">
        <v>65.0124</v>
      </c>
      <c r="S7">
        <v>0.2</v>
      </c>
      <c r="T7">
        <v>-16.685199999999998</v>
      </c>
      <c r="U7">
        <v>1</v>
      </c>
      <c r="AA7">
        <v>127</v>
      </c>
      <c r="AB7" t="b">
        <v>1</v>
      </c>
      <c r="AE7">
        <v>584</v>
      </c>
      <c r="AF7" t="b">
        <v>0</v>
      </c>
      <c r="AJ7" t="s">
        <v>445</v>
      </c>
      <c r="AM7">
        <v>5</v>
      </c>
      <c r="AT7" t="s">
        <v>446</v>
      </c>
      <c r="AU7" t="s">
        <v>120</v>
      </c>
      <c r="AV7" t="s">
        <v>444</v>
      </c>
      <c r="AW7">
        <v>65.023799999999994</v>
      </c>
      <c r="AX7">
        <v>-16.726400000000002</v>
      </c>
      <c r="AY7">
        <v>65.0124</v>
      </c>
      <c r="AZ7">
        <v>-16.685199999999998</v>
      </c>
      <c r="BB7" t="s">
        <v>447</v>
      </c>
      <c r="BC7" t="s">
        <v>134</v>
      </c>
      <c r="BD7">
        <v>20000000</v>
      </c>
      <c r="BE7">
        <v>50000000</v>
      </c>
      <c r="BF7">
        <v>12000000</v>
      </c>
    </row>
    <row r="8" spans="1:58" x14ac:dyDescent="0.2">
      <c r="D8">
        <v>380000</v>
      </c>
      <c r="E8">
        <v>180</v>
      </c>
      <c r="F8" t="s">
        <v>285</v>
      </c>
      <c r="H8">
        <v>180</v>
      </c>
      <c r="I8">
        <v>1700</v>
      </c>
      <c r="O8">
        <v>5000</v>
      </c>
      <c r="R8">
        <v>41.399099999999997</v>
      </c>
      <c r="S8">
        <v>0.2</v>
      </c>
      <c r="T8">
        <v>-122.2047</v>
      </c>
      <c r="U8">
        <v>0</v>
      </c>
      <c r="AA8">
        <v>64</v>
      </c>
      <c r="AB8" t="b">
        <v>1</v>
      </c>
      <c r="AE8">
        <v>0</v>
      </c>
      <c r="AG8">
        <v>0</v>
      </c>
      <c r="AI8" t="b">
        <v>0</v>
      </c>
      <c r="AJ8" t="s">
        <v>618</v>
      </c>
      <c r="AM8">
        <v>3</v>
      </c>
      <c r="AT8" t="s">
        <v>619</v>
      </c>
      <c r="AU8" t="s">
        <v>143</v>
      </c>
      <c r="AV8" t="s">
        <v>617</v>
      </c>
      <c r="AW8">
        <v>41.360500000000002</v>
      </c>
      <c r="AX8">
        <v>-122.2351</v>
      </c>
      <c r="AY8">
        <v>41.399099999999997</v>
      </c>
      <c r="AZ8">
        <v>-122.2047</v>
      </c>
      <c r="BB8" t="s">
        <v>374</v>
      </c>
      <c r="BC8" t="s">
        <v>375</v>
      </c>
    </row>
    <row r="9" spans="1:58" x14ac:dyDescent="0.2">
      <c r="E9">
        <v>274</v>
      </c>
      <c r="F9" t="s">
        <v>267</v>
      </c>
      <c r="H9">
        <v>274</v>
      </c>
      <c r="I9">
        <v>850</v>
      </c>
      <c r="O9">
        <v>1400</v>
      </c>
      <c r="R9">
        <v>31.082799999999999</v>
      </c>
      <c r="S9">
        <v>0</v>
      </c>
      <c r="T9">
        <v>98.6982</v>
      </c>
      <c r="U9">
        <v>1</v>
      </c>
      <c r="AA9">
        <v>771</v>
      </c>
      <c r="AB9" t="b">
        <v>1</v>
      </c>
      <c r="AE9">
        <v>1090</v>
      </c>
      <c r="AF9" t="b">
        <v>0</v>
      </c>
      <c r="AJ9" t="s">
        <v>920</v>
      </c>
      <c r="AM9">
        <v>5</v>
      </c>
      <c r="AT9" t="s">
        <v>921</v>
      </c>
      <c r="AU9" t="s">
        <v>120</v>
      </c>
      <c r="AV9" t="s">
        <v>919</v>
      </c>
      <c r="AW9">
        <v>31.081099999999999</v>
      </c>
      <c r="AX9">
        <v>98.721699999999998</v>
      </c>
      <c r="AY9">
        <v>31.082799999999999</v>
      </c>
      <c r="AZ9">
        <v>98.6982</v>
      </c>
      <c r="BB9" t="s">
        <v>303</v>
      </c>
      <c r="BC9" t="s">
        <v>134</v>
      </c>
      <c r="BD9">
        <v>24500000</v>
      </c>
    </row>
    <row r="10" spans="1:58" x14ac:dyDescent="0.2">
      <c r="A10">
        <v>32000</v>
      </c>
      <c r="B10">
        <v>46000</v>
      </c>
      <c r="C10">
        <v>18000</v>
      </c>
      <c r="D10">
        <v>650000</v>
      </c>
      <c r="E10">
        <v>190</v>
      </c>
      <c r="F10" t="s">
        <v>267</v>
      </c>
      <c r="H10">
        <v>190</v>
      </c>
      <c r="I10">
        <v>590</v>
      </c>
      <c r="J10">
        <v>600</v>
      </c>
      <c r="K10">
        <v>570</v>
      </c>
      <c r="O10">
        <v>1790</v>
      </c>
      <c r="P10">
        <v>1810</v>
      </c>
      <c r="Q10">
        <v>1640</v>
      </c>
      <c r="R10">
        <v>61.243200000000002</v>
      </c>
      <c r="S10">
        <v>0</v>
      </c>
      <c r="T10">
        <v>-147.94149999999999</v>
      </c>
      <c r="U10">
        <v>1</v>
      </c>
      <c r="AA10">
        <v>366</v>
      </c>
      <c r="AB10" t="b">
        <v>1</v>
      </c>
      <c r="AE10">
        <v>500</v>
      </c>
      <c r="AF10" t="b">
        <v>0</v>
      </c>
      <c r="AG10">
        <v>0</v>
      </c>
      <c r="AI10" t="b">
        <v>0</v>
      </c>
      <c r="AJ10" t="s">
        <v>568</v>
      </c>
      <c r="AM10">
        <v>4</v>
      </c>
      <c r="AT10" t="s">
        <v>569</v>
      </c>
      <c r="AU10" t="s">
        <v>143</v>
      </c>
      <c r="AV10" t="s">
        <v>567</v>
      </c>
      <c r="AW10">
        <v>61.25</v>
      </c>
      <c r="AX10">
        <v>-147.9709</v>
      </c>
      <c r="AY10">
        <v>61.243200000000002</v>
      </c>
      <c r="AZ10">
        <v>-147.94149999999999</v>
      </c>
      <c r="BB10" t="s">
        <v>271</v>
      </c>
      <c r="BC10" t="s">
        <v>134</v>
      </c>
      <c r="BD10">
        <v>530000</v>
      </c>
      <c r="BE10">
        <v>800000</v>
      </c>
      <c r="BF10">
        <v>350000</v>
      </c>
    </row>
    <row r="11" spans="1:58" x14ac:dyDescent="0.2">
      <c r="A11">
        <v>25000</v>
      </c>
      <c r="B11">
        <v>42000</v>
      </c>
      <c r="C11">
        <v>17000</v>
      </c>
      <c r="D11">
        <v>1000000</v>
      </c>
      <c r="E11">
        <v>283</v>
      </c>
      <c r="F11" t="s">
        <v>267</v>
      </c>
      <c r="H11">
        <v>283</v>
      </c>
      <c r="I11">
        <v>770</v>
      </c>
      <c r="J11">
        <v>790</v>
      </c>
      <c r="K11">
        <v>750</v>
      </c>
      <c r="O11">
        <v>2200</v>
      </c>
      <c r="P11">
        <v>2500</v>
      </c>
      <c r="Q11">
        <v>2000</v>
      </c>
      <c r="R11">
        <v>61.241100000000003</v>
      </c>
      <c r="S11">
        <v>0</v>
      </c>
      <c r="T11">
        <v>-147.94290000000001</v>
      </c>
      <c r="U11">
        <v>1</v>
      </c>
      <c r="AA11">
        <v>344</v>
      </c>
      <c r="AB11" t="b">
        <v>1</v>
      </c>
      <c r="AE11">
        <v>500</v>
      </c>
      <c r="AF11" t="b">
        <v>0</v>
      </c>
      <c r="AG11">
        <v>0</v>
      </c>
      <c r="AI11" t="b">
        <v>0</v>
      </c>
      <c r="AJ11" t="s">
        <v>568</v>
      </c>
      <c r="AM11">
        <v>4</v>
      </c>
      <c r="AT11" t="s">
        <v>991</v>
      </c>
      <c r="AU11" t="s">
        <v>120</v>
      </c>
      <c r="AV11" t="s">
        <v>990</v>
      </c>
      <c r="AW11">
        <v>61.249200000000002</v>
      </c>
      <c r="AX11">
        <v>-147.97130000000001</v>
      </c>
      <c r="AY11">
        <v>61.241100000000003</v>
      </c>
      <c r="AZ11">
        <v>-147.94290000000001</v>
      </c>
      <c r="BB11" t="s">
        <v>271</v>
      </c>
      <c r="BC11" t="s">
        <v>134</v>
      </c>
      <c r="BD11">
        <v>370000</v>
      </c>
      <c r="BE11">
        <v>560000</v>
      </c>
      <c r="BF11">
        <v>250000</v>
      </c>
    </row>
    <row r="12" spans="1:58" x14ac:dyDescent="0.2">
      <c r="A12">
        <v>6461</v>
      </c>
      <c r="D12">
        <v>286700</v>
      </c>
      <c r="E12">
        <v>166</v>
      </c>
      <c r="F12" t="s">
        <v>267</v>
      </c>
      <c r="H12">
        <v>166</v>
      </c>
      <c r="I12">
        <v>995</v>
      </c>
      <c r="O12">
        <v>1700</v>
      </c>
      <c r="R12">
        <v>61.154200000000003</v>
      </c>
      <c r="S12">
        <v>0.1</v>
      </c>
      <c r="T12">
        <v>-148.166</v>
      </c>
      <c r="U12">
        <v>1</v>
      </c>
      <c r="AA12">
        <v>456</v>
      </c>
      <c r="AB12" t="b">
        <v>0</v>
      </c>
      <c r="AE12">
        <v>198</v>
      </c>
      <c r="AF12" t="b">
        <v>1</v>
      </c>
      <c r="AG12">
        <v>0</v>
      </c>
      <c r="AI12" t="b">
        <v>0</v>
      </c>
      <c r="AJ12" t="s">
        <v>568</v>
      </c>
      <c r="AM12">
        <v>3</v>
      </c>
      <c r="AT12" t="s">
        <v>571</v>
      </c>
      <c r="AU12" t="s">
        <v>143</v>
      </c>
      <c r="AV12" t="s">
        <v>570</v>
      </c>
      <c r="AW12">
        <v>61.147599999999997</v>
      </c>
      <c r="AX12">
        <v>-148.14699999999999</v>
      </c>
      <c r="BB12" t="s">
        <v>312</v>
      </c>
      <c r="BC12" t="s">
        <v>191</v>
      </c>
      <c r="BD12">
        <v>162553</v>
      </c>
    </row>
    <row r="13" spans="1:58" x14ac:dyDescent="0.2">
      <c r="D13">
        <v>1800000</v>
      </c>
      <c r="E13">
        <v>20</v>
      </c>
      <c r="F13" t="s">
        <v>267</v>
      </c>
      <c r="H13">
        <v>20</v>
      </c>
      <c r="I13">
        <v>850</v>
      </c>
      <c r="J13">
        <v>950</v>
      </c>
      <c r="K13">
        <v>700</v>
      </c>
      <c r="O13">
        <v>2950</v>
      </c>
      <c r="P13">
        <v>3000</v>
      </c>
      <c r="Q13">
        <v>1100</v>
      </c>
      <c r="R13">
        <v>40.5319</v>
      </c>
      <c r="S13">
        <v>0</v>
      </c>
      <c r="T13">
        <v>-112.14879999999999</v>
      </c>
      <c r="U13">
        <v>1</v>
      </c>
      <c r="V13">
        <v>70000000000</v>
      </c>
      <c r="W13">
        <v>84000000000</v>
      </c>
      <c r="X13">
        <v>56000000000</v>
      </c>
      <c r="AA13">
        <v>643</v>
      </c>
      <c r="AB13" t="b">
        <v>1</v>
      </c>
      <c r="AE13">
        <v>1000</v>
      </c>
      <c r="AF13" t="b">
        <v>0</v>
      </c>
      <c r="AJ13" t="s">
        <v>916</v>
      </c>
      <c r="AM13">
        <v>5</v>
      </c>
      <c r="AT13" t="s">
        <v>917</v>
      </c>
      <c r="AU13" t="s">
        <v>137</v>
      </c>
      <c r="AV13" t="s">
        <v>915</v>
      </c>
      <c r="AW13">
        <v>40.519500000000001</v>
      </c>
      <c r="AX13">
        <v>-112.15326</v>
      </c>
      <c r="AY13">
        <v>40.537190000000002</v>
      </c>
      <c r="AZ13">
        <v>-112.13741</v>
      </c>
      <c r="BB13" t="s">
        <v>284</v>
      </c>
      <c r="BC13" t="s">
        <v>134</v>
      </c>
      <c r="BD13">
        <v>30000000</v>
      </c>
      <c r="BE13">
        <v>36700000</v>
      </c>
      <c r="BF13">
        <v>21000000</v>
      </c>
    </row>
    <row r="14" spans="1:58" x14ac:dyDescent="0.2">
      <c r="D14">
        <v>1800000</v>
      </c>
      <c r="E14">
        <v>21</v>
      </c>
      <c r="F14" t="s">
        <v>267</v>
      </c>
      <c r="H14">
        <v>21</v>
      </c>
      <c r="I14">
        <v>850</v>
      </c>
      <c r="J14">
        <v>950</v>
      </c>
      <c r="K14">
        <v>700</v>
      </c>
      <c r="O14">
        <v>2950</v>
      </c>
      <c r="P14">
        <v>3000</v>
      </c>
      <c r="Q14">
        <v>1400</v>
      </c>
      <c r="R14">
        <v>40.5319</v>
      </c>
      <c r="S14">
        <v>0</v>
      </c>
      <c r="T14">
        <v>-112.14879999999999</v>
      </c>
      <c r="U14">
        <v>1</v>
      </c>
      <c r="V14">
        <v>45000000000</v>
      </c>
      <c r="W14">
        <v>54000000000</v>
      </c>
      <c r="X14">
        <v>36000000000</v>
      </c>
      <c r="AA14">
        <v>659</v>
      </c>
      <c r="AB14" t="b">
        <v>1</v>
      </c>
      <c r="AE14">
        <v>1000</v>
      </c>
      <c r="AF14" t="b">
        <v>0</v>
      </c>
      <c r="AJ14" t="s">
        <v>863</v>
      </c>
      <c r="AM14">
        <v>5</v>
      </c>
      <c r="AT14" t="s">
        <v>864</v>
      </c>
      <c r="AU14" t="s">
        <v>137</v>
      </c>
      <c r="AV14" t="s">
        <v>862</v>
      </c>
      <c r="AW14">
        <v>40.519500000000001</v>
      </c>
      <c r="AX14">
        <v>-112.15326</v>
      </c>
      <c r="AY14">
        <v>40.537190000000002</v>
      </c>
      <c r="AZ14">
        <v>-112.13741</v>
      </c>
      <c r="BB14" t="s">
        <v>284</v>
      </c>
      <c r="BC14" t="s">
        <v>134</v>
      </c>
      <c r="BD14">
        <v>22000000</v>
      </c>
      <c r="BE14">
        <v>22000000</v>
      </c>
      <c r="BF14">
        <v>17300000</v>
      </c>
    </row>
    <row r="15" spans="1:58" x14ac:dyDescent="0.2">
      <c r="A15">
        <v>600</v>
      </c>
      <c r="B15">
        <v>900</v>
      </c>
      <c r="C15">
        <v>300</v>
      </c>
      <c r="D15">
        <v>11000</v>
      </c>
      <c r="E15">
        <v>265</v>
      </c>
      <c r="F15" t="s">
        <v>267</v>
      </c>
      <c r="H15">
        <v>265</v>
      </c>
      <c r="I15">
        <v>220</v>
      </c>
      <c r="O15">
        <v>200</v>
      </c>
      <c r="R15">
        <v>49.6813</v>
      </c>
      <c r="S15">
        <v>0</v>
      </c>
      <c r="T15">
        <v>-123.1482</v>
      </c>
      <c r="U15">
        <v>0</v>
      </c>
      <c r="AA15">
        <v>219</v>
      </c>
      <c r="AB15" t="b">
        <v>1</v>
      </c>
      <c r="AE15">
        <v>0</v>
      </c>
      <c r="AJ15" t="s">
        <v>462</v>
      </c>
      <c r="AM15">
        <v>4</v>
      </c>
      <c r="AT15" t="s">
        <v>463</v>
      </c>
      <c r="AU15" t="s">
        <v>120</v>
      </c>
      <c r="AV15" t="s">
        <v>461</v>
      </c>
      <c r="AW15">
        <v>49.681699999999999</v>
      </c>
      <c r="AX15">
        <v>-123.15009999999999</v>
      </c>
      <c r="AY15">
        <v>49.6813</v>
      </c>
      <c r="AZ15">
        <v>-123.1482</v>
      </c>
      <c r="BB15" t="s">
        <v>312</v>
      </c>
      <c r="BC15" t="s">
        <v>191</v>
      </c>
      <c r="BD15">
        <v>3000</v>
      </c>
      <c r="BE15">
        <v>3500</v>
      </c>
      <c r="BF15">
        <v>3300</v>
      </c>
    </row>
    <row r="16" spans="1:58" x14ac:dyDescent="0.2">
      <c r="E16">
        <v>307</v>
      </c>
      <c r="F16" t="s">
        <v>357</v>
      </c>
      <c r="H16">
        <v>307</v>
      </c>
      <c r="R16">
        <v>46.675800000000002</v>
      </c>
      <c r="S16">
        <v>0.2</v>
      </c>
      <c r="T16">
        <v>9.5936000000000003</v>
      </c>
      <c r="U16">
        <v>0</v>
      </c>
      <c r="AA16">
        <v>240</v>
      </c>
      <c r="AB16" t="b">
        <v>1</v>
      </c>
      <c r="AE16">
        <v>0</v>
      </c>
      <c r="AJ16" t="s">
        <v>876</v>
      </c>
      <c r="AM16">
        <v>4</v>
      </c>
      <c r="AT16" t="s">
        <v>877</v>
      </c>
      <c r="AU16" t="s">
        <v>120</v>
      </c>
      <c r="AV16" t="s">
        <v>875</v>
      </c>
      <c r="BB16" t="s">
        <v>303</v>
      </c>
      <c r="BC16" t="s">
        <v>134</v>
      </c>
      <c r="BD16">
        <v>1200000</v>
      </c>
    </row>
    <row r="17" spans="1:58" x14ac:dyDescent="0.2">
      <c r="A17">
        <v>3500000</v>
      </c>
      <c r="E17">
        <v>275</v>
      </c>
      <c r="F17" t="s">
        <v>267</v>
      </c>
      <c r="H17">
        <v>275</v>
      </c>
      <c r="I17">
        <v>1500</v>
      </c>
      <c r="O17">
        <v>7200</v>
      </c>
      <c r="P17">
        <v>7500</v>
      </c>
      <c r="Q17">
        <v>7000</v>
      </c>
      <c r="R17">
        <v>23.228100000000001</v>
      </c>
      <c r="S17">
        <v>0</v>
      </c>
      <c r="T17">
        <v>120.7517</v>
      </c>
      <c r="U17">
        <v>1</v>
      </c>
      <c r="AA17">
        <v>208</v>
      </c>
      <c r="AB17" t="b">
        <v>1</v>
      </c>
      <c r="AE17">
        <v>277</v>
      </c>
      <c r="AF17" t="b">
        <v>0</v>
      </c>
      <c r="AJ17" t="s">
        <v>1070</v>
      </c>
      <c r="AM17">
        <v>5</v>
      </c>
      <c r="AT17" t="s">
        <v>1071</v>
      </c>
      <c r="AU17" t="s">
        <v>120</v>
      </c>
      <c r="AV17" t="s">
        <v>1069</v>
      </c>
      <c r="AW17">
        <v>23.1831</v>
      </c>
      <c r="AX17">
        <v>120.7782</v>
      </c>
      <c r="AY17">
        <v>23.228100000000001</v>
      </c>
      <c r="AZ17">
        <v>120.7517</v>
      </c>
      <c r="BB17" t="s">
        <v>280</v>
      </c>
      <c r="BC17" t="s">
        <v>134</v>
      </c>
      <c r="BD17">
        <v>83800000</v>
      </c>
    </row>
    <row r="18" spans="1:58" x14ac:dyDescent="0.2">
      <c r="E18">
        <v>262</v>
      </c>
      <c r="F18" t="s">
        <v>267</v>
      </c>
      <c r="H18">
        <v>262</v>
      </c>
      <c r="I18">
        <v>610</v>
      </c>
      <c r="O18">
        <v>500</v>
      </c>
      <c r="P18">
        <v>600</v>
      </c>
      <c r="Q18">
        <v>400</v>
      </c>
      <c r="R18">
        <v>37.267969999999998</v>
      </c>
      <c r="S18">
        <v>0</v>
      </c>
      <c r="T18">
        <v>-112.93424</v>
      </c>
      <c r="U18">
        <v>0</v>
      </c>
      <c r="V18">
        <v>28000000</v>
      </c>
      <c r="W18">
        <v>32200000</v>
      </c>
      <c r="X18">
        <v>23800000</v>
      </c>
      <c r="AA18">
        <v>50</v>
      </c>
      <c r="AB18" t="b">
        <v>1</v>
      </c>
      <c r="AE18">
        <v>0</v>
      </c>
      <c r="AJ18" t="s">
        <v>928</v>
      </c>
      <c r="AM18">
        <v>5</v>
      </c>
      <c r="AT18" t="s">
        <v>929</v>
      </c>
      <c r="AU18" t="s">
        <v>143</v>
      </c>
      <c r="AV18" t="s">
        <v>927</v>
      </c>
      <c r="AY18">
        <v>37.267969999999998</v>
      </c>
      <c r="AZ18">
        <v>-112.93424</v>
      </c>
      <c r="BB18" t="s">
        <v>284</v>
      </c>
      <c r="BC18" t="s">
        <v>134</v>
      </c>
      <c r="BD18">
        <v>12000</v>
      </c>
      <c r="BE18">
        <v>13800</v>
      </c>
      <c r="BF18">
        <v>10200</v>
      </c>
    </row>
    <row r="19" spans="1:58" x14ac:dyDescent="0.2">
      <c r="E19">
        <v>201</v>
      </c>
      <c r="F19" t="s">
        <v>593</v>
      </c>
      <c r="H19">
        <v>201</v>
      </c>
      <c r="R19">
        <v>43.62</v>
      </c>
      <c r="S19">
        <v>7</v>
      </c>
      <c r="T19">
        <v>6.75</v>
      </c>
      <c r="U19">
        <v>0</v>
      </c>
      <c r="AA19">
        <v>77</v>
      </c>
      <c r="AB19" t="b">
        <v>0</v>
      </c>
      <c r="AE19">
        <v>0</v>
      </c>
      <c r="AJ19" t="s">
        <v>595</v>
      </c>
      <c r="AM19">
        <v>1</v>
      </c>
      <c r="AT19" t="s">
        <v>596</v>
      </c>
      <c r="AU19" t="s">
        <v>143</v>
      </c>
      <c r="AV19" t="s">
        <v>594</v>
      </c>
      <c r="BB19" t="s">
        <v>280</v>
      </c>
      <c r="BC19" t="s">
        <v>134</v>
      </c>
    </row>
    <row r="20" spans="1:58" x14ac:dyDescent="0.2">
      <c r="D20">
        <v>100000</v>
      </c>
      <c r="E20">
        <v>176</v>
      </c>
      <c r="F20" t="s">
        <v>267</v>
      </c>
      <c r="H20">
        <v>176</v>
      </c>
      <c r="O20">
        <v>1600</v>
      </c>
      <c r="P20">
        <v>2300</v>
      </c>
      <c r="Q20">
        <v>1300</v>
      </c>
      <c r="R20">
        <v>46.867600000000003</v>
      </c>
      <c r="S20">
        <v>0.3</v>
      </c>
      <c r="T20">
        <v>-121.7765</v>
      </c>
      <c r="U20">
        <v>0</v>
      </c>
      <c r="AA20">
        <v>23</v>
      </c>
      <c r="AB20" t="b">
        <v>1</v>
      </c>
      <c r="AE20">
        <v>0</v>
      </c>
      <c r="AG20">
        <v>0</v>
      </c>
      <c r="AI20" t="b">
        <v>0</v>
      </c>
      <c r="AJ20" t="s">
        <v>1033</v>
      </c>
      <c r="AM20">
        <v>3</v>
      </c>
      <c r="AT20" t="s">
        <v>1034</v>
      </c>
      <c r="AU20" t="s">
        <v>143</v>
      </c>
      <c r="AV20" t="s">
        <v>1032</v>
      </c>
      <c r="AY20">
        <v>46.720399999999998</v>
      </c>
      <c r="AZ20">
        <v>-121.7795</v>
      </c>
      <c r="BB20" t="s">
        <v>374</v>
      </c>
      <c r="BC20" t="s">
        <v>375</v>
      </c>
    </row>
    <row r="21" spans="1:58" x14ac:dyDescent="0.2">
      <c r="D21">
        <v>45000</v>
      </c>
      <c r="E21">
        <v>302</v>
      </c>
      <c r="F21" t="s">
        <v>336</v>
      </c>
      <c r="H21">
        <v>302</v>
      </c>
      <c r="I21">
        <v>440</v>
      </c>
      <c r="O21">
        <v>1116</v>
      </c>
      <c r="R21">
        <v>40.731900000000003</v>
      </c>
      <c r="S21">
        <v>0</v>
      </c>
      <c r="T21">
        <v>13.898199999999999</v>
      </c>
      <c r="U21">
        <v>0</v>
      </c>
      <c r="Y21">
        <v>3</v>
      </c>
      <c r="Z21">
        <v>1</v>
      </c>
      <c r="AA21">
        <v>5</v>
      </c>
      <c r="AB21" t="b">
        <v>1</v>
      </c>
      <c r="AE21">
        <v>0</v>
      </c>
      <c r="AJ21" t="s">
        <v>123</v>
      </c>
      <c r="AM21">
        <v>5</v>
      </c>
      <c r="AT21" t="s">
        <v>124</v>
      </c>
      <c r="AU21" t="s">
        <v>120</v>
      </c>
      <c r="AV21" t="s">
        <v>337</v>
      </c>
      <c r="AW21">
        <v>40.740600000000001</v>
      </c>
      <c r="AX21">
        <v>13.9018</v>
      </c>
      <c r="AY21">
        <v>40.731900000000003</v>
      </c>
      <c r="AZ21">
        <v>13.898199999999999</v>
      </c>
      <c r="BB21" t="s">
        <v>121</v>
      </c>
      <c r="BC21" t="s">
        <v>122</v>
      </c>
      <c r="BD21">
        <v>40000</v>
      </c>
    </row>
    <row r="22" spans="1:58" x14ac:dyDescent="0.2">
      <c r="E22">
        <v>143</v>
      </c>
      <c r="F22" t="s">
        <v>365</v>
      </c>
      <c r="H22">
        <v>143</v>
      </c>
      <c r="R22">
        <v>38.733310000000003</v>
      </c>
      <c r="S22">
        <v>0</v>
      </c>
      <c r="T22">
        <v>-106.18702999999999</v>
      </c>
      <c r="U22">
        <v>0</v>
      </c>
      <c r="Y22">
        <v>3.0000000000000001E-3</v>
      </c>
      <c r="Z22">
        <v>1</v>
      </c>
      <c r="AE22">
        <v>0</v>
      </c>
      <c r="AJ22" t="s">
        <v>125</v>
      </c>
      <c r="AK22" s="6" t="s">
        <v>96</v>
      </c>
      <c r="AL22" s="7" t="s">
        <v>126</v>
      </c>
      <c r="AM22">
        <v>5</v>
      </c>
      <c r="AQ22">
        <v>0.65</v>
      </c>
      <c r="AT22" t="s">
        <v>127</v>
      </c>
      <c r="AU22" t="s">
        <v>128</v>
      </c>
      <c r="AV22" t="s">
        <v>366</v>
      </c>
      <c r="BA22">
        <v>0.06</v>
      </c>
      <c r="BB22" t="s">
        <v>121</v>
      </c>
      <c r="BC22" t="s">
        <v>122</v>
      </c>
    </row>
    <row r="23" spans="1:58" x14ac:dyDescent="0.2">
      <c r="E23">
        <v>144</v>
      </c>
      <c r="F23" t="s">
        <v>365</v>
      </c>
      <c r="H23">
        <v>144</v>
      </c>
      <c r="R23">
        <v>38.733310000000003</v>
      </c>
      <c r="S23">
        <v>0</v>
      </c>
      <c r="T23">
        <v>-106.18702999999999</v>
      </c>
      <c r="U23">
        <v>0</v>
      </c>
      <c r="Y23">
        <v>3.0000000000000001E-3</v>
      </c>
      <c r="Z23">
        <v>1</v>
      </c>
      <c r="AE23">
        <v>0</v>
      </c>
      <c r="AJ23" t="s">
        <v>129</v>
      </c>
      <c r="AK23" s="6" t="s">
        <v>96</v>
      </c>
      <c r="AL23" s="7" t="s">
        <v>126</v>
      </c>
      <c r="AM23">
        <v>5</v>
      </c>
      <c r="AQ23">
        <v>0.75</v>
      </c>
      <c r="AT23" t="s">
        <v>130</v>
      </c>
      <c r="AU23" t="s">
        <v>128</v>
      </c>
      <c r="AV23" t="s">
        <v>397</v>
      </c>
      <c r="BA23">
        <v>0.06</v>
      </c>
      <c r="BB23" t="s">
        <v>121</v>
      </c>
      <c r="BC23" t="s">
        <v>122</v>
      </c>
    </row>
    <row r="24" spans="1:58" x14ac:dyDescent="0.2">
      <c r="A24">
        <v>88000</v>
      </c>
      <c r="D24">
        <v>154000</v>
      </c>
      <c r="E24">
        <v>287</v>
      </c>
      <c r="F24" t="s">
        <v>267</v>
      </c>
      <c r="H24">
        <v>287</v>
      </c>
      <c r="I24">
        <v>380</v>
      </c>
      <c r="O24">
        <v>700</v>
      </c>
      <c r="R24">
        <v>40.302</v>
      </c>
      <c r="S24">
        <v>0</v>
      </c>
      <c r="T24">
        <v>-105.6835</v>
      </c>
      <c r="U24">
        <v>0</v>
      </c>
      <c r="AA24">
        <v>70</v>
      </c>
      <c r="AB24" t="b">
        <v>1</v>
      </c>
      <c r="AE24">
        <v>0</v>
      </c>
      <c r="AG24">
        <v>0</v>
      </c>
      <c r="AI24" t="b">
        <v>0</v>
      </c>
      <c r="AJ24" t="s">
        <v>131</v>
      </c>
      <c r="AM24">
        <v>5</v>
      </c>
      <c r="AT24" t="s">
        <v>132</v>
      </c>
      <c r="AU24" t="s">
        <v>120</v>
      </c>
      <c r="AV24" t="s">
        <v>422</v>
      </c>
      <c r="AW24">
        <v>40.301299999999998</v>
      </c>
      <c r="AX24">
        <v>-105.67789999999999</v>
      </c>
      <c r="AY24">
        <v>40.302</v>
      </c>
      <c r="AZ24">
        <v>-105.6835</v>
      </c>
      <c r="BB24" t="s">
        <v>133</v>
      </c>
      <c r="BC24" t="s">
        <v>134</v>
      </c>
      <c r="BD24">
        <v>2130000</v>
      </c>
      <c r="BE24">
        <v>2250000</v>
      </c>
      <c r="BF24">
        <v>2010000</v>
      </c>
    </row>
    <row r="25" spans="1:58" x14ac:dyDescent="0.2">
      <c r="A25">
        <v>46000</v>
      </c>
      <c r="B25">
        <v>50000</v>
      </c>
      <c r="C25">
        <v>37000</v>
      </c>
      <c r="D25">
        <v>250000</v>
      </c>
      <c r="E25">
        <v>24</v>
      </c>
      <c r="F25" t="s">
        <v>466</v>
      </c>
      <c r="H25">
        <v>24</v>
      </c>
      <c r="K25">
        <v>600</v>
      </c>
      <c r="Q25">
        <v>960</v>
      </c>
      <c r="R25">
        <v>49.467359999999999</v>
      </c>
      <c r="S25">
        <v>0</v>
      </c>
      <c r="T25">
        <v>-122.01218</v>
      </c>
      <c r="U25">
        <v>2</v>
      </c>
      <c r="AA25">
        <v>998</v>
      </c>
      <c r="AB25" t="b">
        <v>1</v>
      </c>
      <c r="AE25">
        <v>200</v>
      </c>
      <c r="AF25" t="b">
        <v>1</v>
      </c>
      <c r="AJ25" t="s">
        <v>135</v>
      </c>
      <c r="AM25">
        <v>5</v>
      </c>
      <c r="AT25" t="s">
        <v>136</v>
      </c>
      <c r="AU25" t="s">
        <v>137</v>
      </c>
      <c r="AV25" t="s">
        <v>467</v>
      </c>
      <c r="AW25">
        <v>49.465159999999997</v>
      </c>
      <c r="AX25">
        <v>-122.00855</v>
      </c>
      <c r="AY25">
        <v>49.470840000000003</v>
      </c>
      <c r="AZ25">
        <v>-122.01613999999999</v>
      </c>
      <c r="BB25" t="s">
        <v>138</v>
      </c>
      <c r="BC25" t="s">
        <v>134</v>
      </c>
      <c r="BD25">
        <v>880000</v>
      </c>
      <c r="BE25">
        <v>1200000</v>
      </c>
      <c r="BF25">
        <v>670000</v>
      </c>
    </row>
    <row r="26" spans="1:58" x14ac:dyDescent="0.2">
      <c r="E26">
        <v>173</v>
      </c>
      <c r="F26" t="s">
        <v>267</v>
      </c>
      <c r="H26">
        <v>173</v>
      </c>
      <c r="R26">
        <v>45.381700000000002</v>
      </c>
      <c r="S26">
        <v>0.5</v>
      </c>
      <c r="T26">
        <v>-121.6957</v>
      </c>
      <c r="U26">
        <v>0</v>
      </c>
      <c r="AA26">
        <v>16</v>
      </c>
      <c r="AB26" t="b">
        <v>1</v>
      </c>
      <c r="AE26">
        <v>0</v>
      </c>
      <c r="AG26">
        <v>0</v>
      </c>
      <c r="AI26" t="b">
        <v>0</v>
      </c>
      <c r="AJ26" t="s">
        <v>372</v>
      </c>
      <c r="AL26" s="7"/>
      <c r="AM26">
        <v>1</v>
      </c>
      <c r="AT26" t="s">
        <v>373</v>
      </c>
      <c r="AU26" t="s">
        <v>143</v>
      </c>
      <c r="AV26" t="s">
        <v>371</v>
      </c>
      <c r="BB26" t="s">
        <v>374</v>
      </c>
      <c r="BC26" t="s">
        <v>375</v>
      </c>
    </row>
    <row r="27" spans="1:58" x14ac:dyDescent="0.2">
      <c r="A27">
        <v>18000</v>
      </c>
      <c r="B27">
        <v>26000</v>
      </c>
      <c r="C27">
        <v>9000</v>
      </c>
      <c r="D27">
        <v>340000</v>
      </c>
      <c r="E27">
        <v>145</v>
      </c>
      <c r="F27" t="s">
        <v>287</v>
      </c>
      <c r="H27">
        <v>145</v>
      </c>
      <c r="I27">
        <v>460</v>
      </c>
      <c r="J27">
        <v>500</v>
      </c>
      <c r="K27">
        <v>400</v>
      </c>
      <c r="O27">
        <v>1700</v>
      </c>
      <c r="P27">
        <v>1800</v>
      </c>
      <c r="Q27">
        <v>1500</v>
      </c>
      <c r="R27">
        <v>58.661099999999998</v>
      </c>
      <c r="S27">
        <v>0</v>
      </c>
      <c r="T27">
        <v>-134.76769999999999</v>
      </c>
      <c r="U27">
        <v>1</v>
      </c>
      <c r="AA27">
        <v>500</v>
      </c>
      <c r="AB27" t="b">
        <v>0</v>
      </c>
      <c r="AE27">
        <v>470</v>
      </c>
      <c r="AF27" t="b">
        <v>1</v>
      </c>
      <c r="AG27">
        <v>0</v>
      </c>
      <c r="AI27" t="b">
        <v>0</v>
      </c>
      <c r="AJ27" t="s">
        <v>700</v>
      </c>
      <c r="AM27">
        <v>4</v>
      </c>
      <c r="AT27" t="s">
        <v>701</v>
      </c>
      <c r="AU27" t="s">
        <v>143</v>
      </c>
      <c r="AV27" t="s">
        <v>699</v>
      </c>
      <c r="AW27">
        <v>58.648299999999999</v>
      </c>
      <c r="AX27">
        <v>-134.78489999999999</v>
      </c>
      <c r="AY27">
        <v>58.661099999999998</v>
      </c>
      <c r="AZ27">
        <v>-134.76769999999999</v>
      </c>
      <c r="BB27" t="s">
        <v>312</v>
      </c>
      <c r="BC27" t="s">
        <v>191</v>
      </c>
      <c r="BD27">
        <v>542000</v>
      </c>
    </row>
    <row r="28" spans="1:58" x14ac:dyDescent="0.2">
      <c r="E28">
        <v>305</v>
      </c>
      <c r="F28" t="s">
        <v>267</v>
      </c>
      <c r="H28">
        <v>305</v>
      </c>
      <c r="R28">
        <v>35.909799999999997</v>
      </c>
      <c r="S28">
        <v>0</v>
      </c>
      <c r="T28">
        <v>-84.860699999999994</v>
      </c>
      <c r="U28">
        <v>0</v>
      </c>
      <c r="AA28">
        <v>500</v>
      </c>
      <c r="AB28" t="b">
        <v>0</v>
      </c>
      <c r="AE28">
        <v>0</v>
      </c>
      <c r="AG28">
        <v>257</v>
      </c>
      <c r="AH28" t="b">
        <v>1</v>
      </c>
      <c r="AI28" t="b">
        <v>1</v>
      </c>
      <c r="AJ28" t="s">
        <v>809</v>
      </c>
      <c r="AM28">
        <v>3</v>
      </c>
      <c r="AT28" t="s">
        <v>810</v>
      </c>
      <c r="AU28" t="s">
        <v>120</v>
      </c>
      <c r="AV28" t="s">
        <v>808</v>
      </c>
      <c r="BB28" t="s">
        <v>683</v>
      </c>
      <c r="BC28" t="s">
        <v>683</v>
      </c>
    </row>
    <row r="29" spans="1:58" x14ac:dyDescent="0.2">
      <c r="A29">
        <v>202400</v>
      </c>
      <c r="C29">
        <v>54400</v>
      </c>
      <c r="E29">
        <v>155</v>
      </c>
      <c r="F29" t="s">
        <v>287</v>
      </c>
      <c r="H29">
        <v>155</v>
      </c>
      <c r="R29">
        <v>39.467500000000001</v>
      </c>
      <c r="S29">
        <v>0.27</v>
      </c>
      <c r="T29">
        <v>-111.2248</v>
      </c>
      <c r="U29">
        <v>1</v>
      </c>
      <c r="AA29">
        <v>500</v>
      </c>
      <c r="AB29" t="b">
        <v>0</v>
      </c>
      <c r="AE29">
        <v>500</v>
      </c>
      <c r="AF29" t="b">
        <v>0</v>
      </c>
      <c r="AJ29" t="s">
        <v>681</v>
      </c>
      <c r="AM29">
        <v>5</v>
      </c>
      <c r="AT29" t="s">
        <v>682</v>
      </c>
      <c r="AU29" t="s">
        <v>143</v>
      </c>
      <c r="AV29" t="s">
        <v>680</v>
      </c>
      <c r="BB29" t="s">
        <v>683</v>
      </c>
      <c r="BC29" t="s">
        <v>683</v>
      </c>
    </row>
    <row r="30" spans="1:58" x14ac:dyDescent="0.2">
      <c r="E30">
        <v>172</v>
      </c>
      <c r="F30" t="s">
        <v>267</v>
      </c>
      <c r="H30">
        <v>172</v>
      </c>
      <c r="R30">
        <v>45.369100000000003</v>
      </c>
      <c r="S30">
        <v>0.3</v>
      </c>
      <c r="T30">
        <v>-121.7007</v>
      </c>
      <c r="U30">
        <v>0</v>
      </c>
      <c r="AA30">
        <v>34</v>
      </c>
      <c r="AB30" t="b">
        <v>1</v>
      </c>
      <c r="AE30">
        <v>0</v>
      </c>
      <c r="AG30">
        <v>0</v>
      </c>
      <c r="AI30" t="b">
        <v>0</v>
      </c>
      <c r="AJ30" t="s">
        <v>953</v>
      </c>
      <c r="AM30">
        <v>2</v>
      </c>
      <c r="AT30" t="s">
        <v>954</v>
      </c>
      <c r="AU30" t="s">
        <v>143</v>
      </c>
      <c r="AV30" t="s">
        <v>952</v>
      </c>
      <c r="BB30" t="s">
        <v>374</v>
      </c>
      <c r="BC30" t="s">
        <v>375</v>
      </c>
    </row>
    <row r="31" spans="1:58" x14ac:dyDescent="0.2">
      <c r="E31">
        <v>200</v>
      </c>
      <c r="F31" t="s">
        <v>316</v>
      </c>
      <c r="H31">
        <v>200</v>
      </c>
      <c r="R31">
        <v>44.75</v>
      </c>
      <c r="S31">
        <v>3</v>
      </c>
      <c r="T31">
        <v>6.72</v>
      </c>
      <c r="U31">
        <v>0</v>
      </c>
      <c r="AA31">
        <v>42</v>
      </c>
      <c r="AB31" t="b">
        <v>0</v>
      </c>
      <c r="AE31">
        <v>0</v>
      </c>
      <c r="AJ31" t="s">
        <v>792</v>
      </c>
      <c r="AM31">
        <v>1</v>
      </c>
      <c r="AT31" t="s">
        <v>793</v>
      </c>
      <c r="AU31" t="s">
        <v>143</v>
      </c>
      <c r="AV31" t="s">
        <v>791</v>
      </c>
      <c r="BB31" t="s">
        <v>280</v>
      </c>
      <c r="BC31" t="s">
        <v>134</v>
      </c>
    </row>
    <row r="32" spans="1:58" x14ac:dyDescent="0.2">
      <c r="D32">
        <v>50000</v>
      </c>
      <c r="E32">
        <v>212</v>
      </c>
      <c r="F32" t="s">
        <v>801</v>
      </c>
      <c r="H32">
        <v>212</v>
      </c>
      <c r="R32">
        <v>46.5914</v>
      </c>
      <c r="S32">
        <v>0.1</v>
      </c>
      <c r="T32">
        <v>13.7326</v>
      </c>
      <c r="U32">
        <v>0</v>
      </c>
      <c r="AA32">
        <v>85</v>
      </c>
      <c r="AB32" t="b">
        <v>0</v>
      </c>
      <c r="AE32">
        <v>0</v>
      </c>
      <c r="AJ32" t="s">
        <v>803</v>
      </c>
      <c r="AM32">
        <v>3</v>
      </c>
      <c r="AT32" t="s">
        <v>804</v>
      </c>
      <c r="AU32" t="s">
        <v>143</v>
      </c>
      <c r="AV32" t="s">
        <v>802</v>
      </c>
      <c r="BB32" t="s">
        <v>303</v>
      </c>
      <c r="BC32" t="s">
        <v>134</v>
      </c>
      <c r="BD32">
        <v>6000</v>
      </c>
    </row>
    <row r="33" spans="1:58" x14ac:dyDescent="0.2">
      <c r="E33">
        <v>229</v>
      </c>
      <c r="F33" t="s">
        <v>688</v>
      </c>
      <c r="H33">
        <v>229</v>
      </c>
      <c r="R33">
        <v>47.212200000000003</v>
      </c>
      <c r="S33">
        <v>0</v>
      </c>
      <c r="T33">
        <v>11.788600000000001</v>
      </c>
      <c r="U33">
        <v>0</v>
      </c>
      <c r="AA33">
        <v>65</v>
      </c>
      <c r="AB33" t="b">
        <v>0</v>
      </c>
      <c r="AE33">
        <v>0</v>
      </c>
      <c r="AJ33" t="s">
        <v>737</v>
      </c>
      <c r="AM33">
        <v>4</v>
      </c>
      <c r="AT33" t="s">
        <v>738</v>
      </c>
      <c r="AU33" t="s">
        <v>143</v>
      </c>
      <c r="AV33" t="s">
        <v>736</v>
      </c>
      <c r="AW33">
        <v>47.212499999999999</v>
      </c>
      <c r="AX33">
        <v>11.7921</v>
      </c>
      <c r="AY33">
        <v>47.212200000000003</v>
      </c>
      <c r="AZ33">
        <v>11.788600000000001</v>
      </c>
      <c r="BB33" t="s">
        <v>312</v>
      </c>
      <c r="BC33" t="s">
        <v>191</v>
      </c>
    </row>
    <row r="34" spans="1:58" x14ac:dyDescent="0.2">
      <c r="E34">
        <v>97</v>
      </c>
      <c r="F34" t="s">
        <v>287</v>
      </c>
      <c r="H34">
        <v>97</v>
      </c>
      <c r="R34">
        <v>37.744300000000003</v>
      </c>
      <c r="T34">
        <v>-119.61450000000001</v>
      </c>
      <c r="U34">
        <v>0</v>
      </c>
      <c r="AA34">
        <v>2</v>
      </c>
      <c r="AB34" t="b">
        <v>1</v>
      </c>
      <c r="AE34">
        <v>0</v>
      </c>
      <c r="AJ34" t="s">
        <v>719</v>
      </c>
      <c r="AM34">
        <v>5</v>
      </c>
      <c r="AT34" t="s">
        <v>720</v>
      </c>
      <c r="AU34" t="s">
        <v>137</v>
      </c>
      <c r="AV34" t="s">
        <v>718</v>
      </c>
      <c r="BB34" t="s">
        <v>312</v>
      </c>
      <c r="BC34" t="s">
        <v>191</v>
      </c>
      <c r="BD34">
        <v>200</v>
      </c>
    </row>
    <row r="35" spans="1:58" x14ac:dyDescent="0.2">
      <c r="A35">
        <v>11000</v>
      </c>
      <c r="B35">
        <v>23000</v>
      </c>
      <c r="C35">
        <v>5000</v>
      </c>
      <c r="D35">
        <v>240000</v>
      </c>
      <c r="E35">
        <v>133</v>
      </c>
      <c r="F35" t="s">
        <v>267</v>
      </c>
      <c r="H35">
        <v>133</v>
      </c>
      <c r="I35">
        <v>374</v>
      </c>
      <c r="O35">
        <v>1073</v>
      </c>
      <c r="R35">
        <v>58.631300000000003</v>
      </c>
      <c r="S35">
        <v>0</v>
      </c>
      <c r="T35">
        <v>-137.02510000000001</v>
      </c>
      <c r="U35">
        <v>0</v>
      </c>
      <c r="AA35">
        <v>358</v>
      </c>
      <c r="AB35" t="b">
        <v>1</v>
      </c>
      <c r="AE35">
        <v>0</v>
      </c>
      <c r="AG35">
        <v>0</v>
      </c>
      <c r="AI35" t="b">
        <v>0</v>
      </c>
      <c r="AJ35" t="s">
        <v>413</v>
      </c>
      <c r="AM35">
        <v>4</v>
      </c>
      <c r="AT35" t="s">
        <v>414</v>
      </c>
      <c r="AU35" t="s">
        <v>143</v>
      </c>
      <c r="AV35" t="s">
        <v>412</v>
      </c>
      <c r="AW35">
        <v>58.638159999999999</v>
      </c>
      <c r="AX35">
        <v>-137.01247000000001</v>
      </c>
      <c r="AY35">
        <v>58.631300000000003</v>
      </c>
      <c r="AZ35">
        <v>-137.02510000000001</v>
      </c>
      <c r="BB35" t="s">
        <v>284</v>
      </c>
      <c r="BC35" t="s">
        <v>134</v>
      </c>
      <c r="BD35">
        <v>120000</v>
      </c>
      <c r="BE35">
        <v>210000</v>
      </c>
      <c r="BF35">
        <v>65000</v>
      </c>
    </row>
    <row r="36" spans="1:58" x14ac:dyDescent="0.2">
      <c r="A36">
        <v>56000</v>
      </c>
      <c r="B36">
        <v>73000</v>
      </c>
      <c r="C36">
        <v>47000</v>
      </c>
      <c r="D36">
        <v>740000</v>
      </c>
      <c r="E36">
        <v>131</v>
      </c>
      <c r="F36" t="s">
        <v>267</v>
      </c>
      <c r="H36">
        <v>131</v>
      </c>
      <c r="I36">
        <v>1020</v>
      </c>
      <c r="J36">
        <v>1050</v>
      </c>
      <c r="K36">
        <v>950</v>
      </c>
      <c r="O36">
        <v>2340</v>
      </c>
      <c r="P36">
        <v>2400</v>
      </c>
      <c r="Q36">
        <v>2300</v>
      </c>
      <c r="R36">
        <v>58.647500000000001</v>
      </c>
      <c r="S36">
        <v>0</v>
      </c>
      <c r="T36">
        <v>-137.0812</v>
      </c>
      <c r="U36">
        <v>0</v>
      </c>
      <c r="AA36">
        <v>136</v>
      </c>
      <c r="AB36" t="b">
        <v>1</v>
      </c>
      <c r="AE36">
        <v>0</v>
      </c>
      <c r="AJ36" t="s">
        <v>413</v>
      </c>
      <c r="AM36">
        <v>4</v>
      </c>
      <c r="AT36" t="s">
        <v>813</v>
      </c>
      <c r="AU36" t="s">
        <v>143</v>
      </c>
      <c r="AV36" t="s">
        <v>812</v>
      </c>
      <c r="AW36">
        <v>58.6494</v>
      </c>
      <c r="AX36">
        <v>-137.04288</v>
      </c>
      <c r="AY36">
        <v>58.647500000000001</v>
      </c>
      <c r="AZ36">
        <v>-137.0812</v>
      </c>
      <c r="BB36" t="s">
        <v>284</v>
      </c>
      <c r="BC36" t="s">
        <v>134</v>
      </c>
      <c r="BD36">
        <v>1200000</v>
      </c>
      <c r="BE36">
        <v>1600000</v>
      </c>
      <c r="BF36">
        <v>860000</v>
      </c>
    </row>
    <row r="37" spans="1:58" x14ac:dyDescent="0.2">
      <c r="E37">
        <v>228</v>
      </c>
      <c r="F37" t="s">
        <v>907</v>
      </c>
      <c r="H37">
        <v>228</v>
      </c>
      <c r="R37">
        <v>47.334290000000003</v>
      </c>
      <c r="S37">
        <v>0.05</v>
      </c>
      <c r="T37">
        <v>9.7935999999999996</v>
      </c>
      <c r="U37">
        <v>0</v>
      </c>
      <c r="AA37">
        <v>79</v>
      </c>
      <c r="AB37" t="b">
        <v>0</v>
      </c>
      <c r="AE37">
        <v>0</v>
      </c>
      <c r="AJ37" t="s">
        <v>909</v>
      </c>
      <c r="AM37">
        <v>1</v>
      </c>
      <c r="AT37" t="s">
        <v>910</v>
      </c>
      <c r="AU37" t="s">
        <v>143</v>
      </c>
      <c r="AV37" t="s">
        <v>908</v>
      </c>
      <c r="BB37" t="s">
        <v>280</v>
      </c>
      <c r="BC37" t="s">
        <v>134</v>
      </c>
    </row>
    <row r="38" spans="1:58" x14ac:dyDescent="0.2">
      <c r="E38">
        <v>224</v>
      </c>
      <c r="F38" t="s">
        <v>432</v>
      </c>
      <c r="H38">
        <v>224</v>
      </c>
      <c r="R38">
        <v>47.583100000000002</v>
      </c>
      <c r="T38">
        <v>13.0847</v>
      </c>
      <c r="U38">
        <v>1</v>
      </c>
      <c r="AA38">
        <v>260</v>
      </c>
      <c r="AB38" t="b">
        <v>0</v>
      </c>
      <c r="AE38">
        <v>193</v>
      </c>
      <c r="AF38" t="b">
        <v>1</v>
      </c>
      <c r="AG38">
        <v>0</v>
      </c>
      <c r="AI38" t="b">
        <v>0</v>
      </c>
      <c r="AJ38" t="s">
        <v>434</v>
      </c>
      <c r="AM38">
        <v>1</v>
      </c>
      <c r="AT38" t="s">
        <v>435</v>
      </c>
      <c r="AU38" t="s">
        <v>143</v>
      </c>
      <c r="AV38" t="s">
        <v>433</v>
      </c>
      <c r="BB38" t="s">
        <v>280</v>
      </c>
      <c r="BC38" t="s">
        <v>134</v>
      </c>
    </row>
    <row r="39" spans="1:58" x14ac:dyDescent="0.2">
      <c r="A39">
        <v>260000</v>
      </c>
      <c r="B39">
        <v>330000</v>
      </c>
      <c r="C39">
        <v>180000</v>
      </c>
      <c r="D39">
        <v>5800000</v>
      </c>
      <c r="E39">
        <v>284</v>
      </c>
      <c r="F39" t="s">
        <v>267</v>
      </c>
      <c r="H39">
        <v>284</v>
      </c>
      <c r="I39">
        <v>1500</v>
      </c>
      <c r="O39">
        <v>20000</v>
      </c>
      <c r="P39">
        <v>21000</v>
      </c>
      <c r="Q39">
        <v>17000</v>
      </c>
      <c r="R39">
        <v>53.975000000000001</v>
      </c>
      <c r="S39">
        <v>0</v>
      </c>
      <c r="T39">
        <v>-129.32599999999999</v>
      </c>
      <c r="U39">
        <v>1</v>
      </c>
      <c r="AA39">
        <v>490</v>
      </c>
      <c r="AB39" t="b">
        <v>0</v>
      </c>
      <c r="AE39">
        <v>490</v>
      </c>
      <c r="AF39" t="b">
        <v>0</v>
      </c>
      <c r="AJ39" t="s">
        <v>473</v>
      </c>
      <c r="AM39">
        <v>4</v>
      </c>
      <c r="AT39" t="s">
        <v>474</v>
      </c>
      <c r="AU39" t="s">
        <v>120</v>
      </c>
      <c r="AV39" t="s">
        <v>472</v>
      </c>
      <c r="AW39">
        <v>53.848500000000001</v>
      </c>
      <c r="AX39">
        <v>-129.34880000000001</v>
      </c>
      <c r="AY39">
        <v>53.975000000000001</v>
      </c>
      <c r="AZ39">
        <v>-129.32599999999999</v>
      </c>
      <c r="BB39" t="s">
        <v>475</v>
      </c>
      <c r="BC39" t="s">
        <v>134</v>
      </c>
      <c r="BD39">
        <v>10000000</v>
      </c>
      <c r="BE39">
        <v>14000000</v>
      </c>
      <c r="BF39">
        <v>7100000</v>
      </c>
    </row>
    <row r="40" spans="1:58" x14ac:dyDescent="0.2">
      <c r="E40">
        <v>238</v>
      </c>
      <c r="F40" t="s">
        <v>695</v>
      </c>
      <c r="H40">
        <v>238</v>
      </c>
      <c r="I40">
        <v>200</v>
      </c>
      <c r="O40">
        <v>260</v>
      </c>
      <c r="R40">
        <v>46.597209999999997</v>
      </c>
      <c r="S40">
        <v>0.2</v>
      </c>
      <c r="T40">
        <v>8.0538000000000007</v>
      </c>
      <c r="U40">
        <v>0</v>
      </c>
      <c r="AA40">
        <v>219</v>
      </c>
      <c r="AB40" t="b">
        <v>0</v>
      </c>
      <c r="AE40">
        <v>0</v>
      </c>
      <c r="AJ40" t="s">
        <v>799</v>
      </c>
      <c r="AM40">
        <v>5</v>
      </c>
      <c r="AT40" t="s">
        <v>800</v>
      </c>
      <c r="AU40" t="s">
        <v>143</v>
      </c>
      <c r="AV40" t="s">
        <v>798</v>
      </c>
      <c r="BB40" t="s">
        <v>312</v>
      </c>
      <c r="BC40" t="s">
        <v>191</v>
      </c>
      <c r="BD40">
        <v>85000</v>
      </c>
      <c r="BE40">
        <v>102000</v>
      </c>
      <c r="BF40">
        <v>68000</v>
      </c>
    </row>
    <row r="41" spans="1:58" x14ac:dyDescent="0.2">
      <c r="E41">
        <v>239</v>
      </c>
      <c r="F41" t="s">
        <v>752</v>
      </c>
      <c r="H41">
        <v>239</v>
      </c>
      <c r="I41">
        <v>200</v>
      </c>
      <c r="O41">
        <v>260</v>
      </c>
      <c r="R41">
        <v>46.597209999999997</v>
      </c>
      <c r="S41">
        <v>0.2</v>
      </c>
      <c r="T41">
        <v>8.0538000000000007</v>
      </c>
      <c r="U41">
        <v>0</v>
      </c>
      <c r="AA41">
        <v>141</v>
      </c>
      <c r="AB41" t="b">
        <v>0</v>
      </c>
      <c r="AE41">
        <v>0</v>
      </c>
      <c r="AJ41" t="s">
        <v>1018</v>
      </c>
      <c r="AM41">
        <v>5</v>
      </c>
      <c r="AT41" t="s">
        <v>1019</v>
      </c>
      <c r="AU41" t="s">
        <v>143</v>
      </c>
      <c r="AV41" t="s">
        <v>1017</v>
      </c>
      <c r="BB41" t="s">
        <v>312</v>
      </c>
      <c r="BC41" t="s">
        <v>191</v>
      </c>
      <c r="BD41">
        <v>20000</v>
      </c>
      <c r="BE41">
        <v>24000</v>
      </c>
      <c r="BF41">
        <v>16000</v>
      </c>
    </row>
    <row r="42" spans="1:58" x14ac:dyDescent="0.2">
      <c r="E42">
        <v>240</v>
      </c>
      <c r="F42" t="s">
        <v>752</v>
      </c>
      <c r="H42">
        <v>240</v>
      </c>
      <c r="I42">
        <v>200</v>
      </c>
      <c r="O42">
        <v>260</v>
      </c>
      <c r="R42">
        <v>46.597209999999997</v>
      </c>
      <c r="S42">
        <v>0.2</v>
      </c>
      <c r="T42">
        <v>8.0538000000000007</v>
      </c>
      <c r="U42">
        <v>0</v>
      </c>
      <c r="AA42">
        <v>170</v>
      </c>
      <c r="AB42" t="b">
        <v>0</v>
      </c>
      <c r="AE42">
        <v>0</v>
      </c>
      <c r="AJ42" t="s">
        <v>754</v>
      </c>
      <c r="AM42">
        <v>3</v>
      </c>
      <c r="AT42" t="s">
        <v>755</v>
      </c>
      <c r="AU42" t="s">
        <v>143</v>
      </c>
      <c r="AV42" t="s">
        <v>753</v>
      </c>
      <c r="BB42" t="s">
        <v>312</v>
      </c>
      <c r="BC42" t="s">
        <v>191</v>
      </c>
      <c r="BD42">
        <v>1000</v>
      </c>
      <c r="BE42">
        <v>1200</v>
      </c>
      <c r="BF42">
        <v>800</v>
      </c>
    </row>
    <row r="43" spans="1:58" x14ac:dyDescent="0.2">
      <c r="E43">
        <v>242</v>
      </c>
      <c r="F43" t="s">
        <v>367</v>
      </c>
      <c r="H43">
        <v>242</v>
      </c>
      <c r="I43">
        <v>200</v>
      </c>
      <c r="O43">
        <v>260</v>
      </c>
      <c r="R43">
        <v>46.597209999999997</v>
      </c>
      <c r="S43">
        <v>0.2</v>
      </c>
      <c r="T43">
        <v>8.0538000000000007</v>
      </c>
      <c r="U43">
        <v>0</v>
      </c>
      <c r="AA43">
        <v>244</v>
      </c>
      <c r="AB43" t="b">
        <v>0</v>
      </c>
      <c r="AE43">
        <v>0</v>
      </c>
      <c r="AJ43" t="s">
        <v>369</v>
      </c>
      <c r="AL43" s="7"/>
      <c r="AM43">
        <v>3</v>
      </c>
      <c r="AT43" t="s">
        <v>370</v>
      </c>
      <c r="AU43" t="s">
        <v>143</v>
      </c>
      <c r="AV43" t="s">
        <v>368</v>
      </c>
      <c r="BB43" t="s">
        <v>312</v>
      </c>
      <c r="BC43" t="s">
        <v>191</v>
      </c>
      <c r="BD43">
        <v>46000</v>
      </c>
      <c r="BE43">
        <v>55200</v>
      </c>
      <c r="BF43">
        <v>36800</v>
      </c>
    </row>
    <row r="44" spans="1:58" x14ac:dyDescent="0.2">
      <c r="E44">
        <v>241</v>
      </c>
      <c r="F44" t="s">
        <v>653</v>
      </c>
      <c r="H44">
        <v>241</v>
      </c>
      <c r="I44">
        <v>200</v>
      </c>
      <c r="O44">
        <v>260</v>
      </c>
      <c r="R44">
        <v>46.597209999999997</v>
      </c>
      <c r="S44">
        <v>0.2</v>
      </c>
      <c r="T44">
        <v>8.0538000000000007</v>
      </c>
      <c r="U44">
        <v>0</v>
      </c>
      <c r="AA44">
        <v>231</v>
      </c>
      <c r="AB44" t="b">
        <v>0</v>
      </c>
      <c r="AE44">
        <v>0</v>
      </c>
      <c r="AJ44" t="s">
        <v>983</v>
      </c>
      <c r="AM44">
        <v>3</v>
      </c>
      <c r="AT44" t="s">
        <v>984</v>
      </c>
      <c r="AU44" t="s">
        <v>143</v>
      </c>
      <c r="AV44" t="s">
        <v>982</v>
      </c>
      <c r="BB44" t="s">
        <v>312</v>
      </c>
      <c r="BC44" t="s">
        <v>191</v>
      </c>
      <c r="BD44">
        <v>4000</v>
      </c>
      <c r="BE44">
        <v>4800</v>
      </c>
      <c r="BF44">
        <v>3200</v>
      </c>
    </row>
    <row r="45" spans="1:58" x14ac:dyDescent="0.2">
      <c r="E45">
        <v>205</v>
      </c>
      <c r="F45" t="s">
        <v>380</v>
      </c>
      <c r="H45">
        <v>205</v>
      </c>
      <c r="R45">
        <v>46.639000000000003</v>
      </c>
      <c r="S45">
        <v>0</v>
      </c>
      <c r="T45">
        <v>12.3483</v>
      </c>
      <c r="U45">
        <v>0</v>
      </c>
      <c r="AA45">
        <v>189</v>
      </c>
      <c r="AB45" t="b">
        <v>0</v>
      </c>
      <c r="AE45">
        <v>0</v>
      </c>
      <c r="AJ45" t="s">
        <v>836</v>
      </c>
      <c r="AM45">
        <v>3</v>
      </c>
      <c r="AT45" t="s">
        <v>837</v>
      </c>
      <c r="AU45" t="s">
        <v>143</v>
      </c>
      <c r="AV45" t="s">
        <v>835</v>
      </c>
      <c r="BB45" t="s">
        <v>303</v>
      </c>
      <c r="BC45" t="s">
        <v>134</v>
      </c>
      <c r="BD45">
        <v>60000</v>
      </c>
    </row>
    <row r="46" spans="1:58" x14ac:dyDescent="0.2">
      <c r="E46">
        <v>300</v>
      </c>
      <c r="F46" t="s">
        <v>1023</v>
      </c>
      <c r="H46">
        <v>300</v>
      </c>
      <c r="I46">
        <v>450</v>
      </c>
      <c r="O46">
        <v>250</v>
      </c>
      <c r="R46">
        <v>37.731079999999999</v>
      </c>
      <c r="S46">
        <v>0</v>
      </c>
      <c r="T46">
        <v>-119.62716</v>
      </c>
      <c r="U46">
        <v>0</v>
      </c>
      <c r="AA46">
        <v>198</v>
      </c>
      <c r="AB46" t="b">
        <v>1</v>
      </c>
      <c r="AE46">
        <v>0</v>
      </c>
      <c r="AJ46" t="s">
        <v>1025</v>
      </c>
      <c r="AM46">
        <v>4</v>
      </c>
      <c r="AT46" t="s">
        <v>1026</v>
      </c>
      <c r="AU46" t="s">
        <v>120</v>
      </c>
      <c r="AV46" t="s">
        <v>1024</v>
      </c>
      <c r="BB46" t="s">
        <v>312</v>
      </c>
      <c r="BC46" t="s">
        <v>191</v>
      </c>
      <c r="BD46">
        <v>1595</v>
      </c>
    </row>
    <row r="47" spans="1:58" x14ac:dyDescent="0.2">
      <c r="A47">
        <v>130000</v>
      </c>
      <c r="B47">
        <v>190000</v>
      </c>
      <c r="C47">
        <v>80000</v>
      </c>
      <c r="E47">
        <v>151</v>
      </c>
      <c r="F47" t="s">
        <v>267</v>
      </c>
      <c r="H47">
        <v>151</v>
      </c>
      <c r="I47">
        <v>1000</v>
      </c>
      <c r="R47">
        <v>50.978200000000001</v>
      </c>
      <c r="S47">
        <v>0</v>
      </c>
      <c r="T47">
        <v>-124.6117</v>
      </c>
      <c r="U47">
        <v>1</v>
      </c>
      <c r="AA47">
        <v>403</v>
      </c>
      <c r="AB47" t="b">
        <v>1</v>
      </c>
      <c r="AE47">
        <v>403</v>
      </c>
      <c r="AF47" t="b">
        <v>1</v>
      </c>
      <c r="AJ47" t="s">
        <v>722</v>
      </c>
      <c r="AM47">
        <v>5</v>
      </c>
      <c r="AT47" t="s">
        <v>723</v>
      </c>
      <c r="AU47" t="s">
        <v>143</v>
      </c>
      <c r="AV47" t="s">
        <v>721</v>
      </c>
      <c r="AW47">
        <v>50.965299999999999</v>
      </c>
      <c r="AX47">
        <v>-124.6057</v>
      </c>
      <c r="AY47">
        <v>50.978200000000001</v>
      </c>
      <c r="AZ47">
        <v>-124.6117</v>
      </c>
      <c r="BB47" t="s">
        <v>284</v>
      </c>
      <c r="BC47" t="s">
        <v>134</v>
      </c>
      <c r="BD47">
        <v>18600000</v>
      </c>
      <c r="BE47">
        <v>18940000</v>
      </c>
      <c r="BF47">
        <v>18260000</v>
      </c>
    </row>
    <row r="48" spans="1:58" x14ac:dyDescent="0.2">
      <c r="E48">
        <v>263</v>
      </c>
      <c r="F48" t="s">
        <v>267</v>
      </c>
      <c r="H48">
        <v>263</v>
      </c>
      <c r="O48">
        <v>10000</v>
      </c>
      <c r="R48">
        <v>50.965299999999999</v>
      </c>
      <c r="S48">
        <v>0</v>
      </c>
      <c r="T48">
        <v>-124.6057</v>
      </c>
      <c r="U48">
        <v>0</v>
      </c>
      <c r="AA48">
        <v>364</v>
      </c>
      <c r="AB48" t="b">
        <v>1</v>
      </c>
      <c r="AE48">
        <v>0</v>
      </c>
      <c r="AJ48" t="s">
        <v>139</v>
      </c>
      <c r="AM48">
        <v>5</v>
      </c>
      <c r="AT48" t="s">
        <v>142</v>
      </c>
      <c r="AU48" t="s">
        <v>143</v>
      </c>
      <c r="AV48" t="s">
        <v>493</v>
      </c>
      <c r="AW48">
        <v>50.866100000000003</v>
      </c>
      <c r="AX48">
        <v>-124.6764</v>
      </c>
      <c r="AY48">
        <v>50.965299999999999</v>
      </c>
      <c r="AZ48">
        <v>-124.6057</v>
      </c>
      <c r="BB48" t="s">
        <v>144</v>
      </c>
      <c r="BC48" t="s">
        <v>122</v>
      </c>
      <c r="BD48">
        <v>13500000</v>
      </c>
    </row>
    <row r="49" spans="1:58" x14ac:dyDescent="0.2">
      <c r="A49">
        <v>57000</v>
      </c>
      <c r="B49">
        <v>76000</v>
      </c>
      <c r="C49">
        <v>37000</v>
      </c>
      <c r="D49">
        <v>950000</v>
      </c>
      <c r="E49">
        <v>294</v>
      </c>
      <c r="F49" t="s">
        <v>267</v>
      </c>
      <c r="H49">
        <v>294</v>
      </c>
      <c r="I49">
        <v>700</v>
      </c>
      <c r="J49">
        <v>750</v>
      </c>
      <c r="K49">
        <v>650</v>
      </c>
      <c r="O49">
        <v>1800</v>
      </c>
      <c r="P49">
        <v>1900</v>
      </c>
      <c r="Q49">
        <v>1700</v>
      </c>
      <c r="R49">
        <v>60.1648</v>
      </c>
      <c r="S49">
        <v>0</v>
      </c>
      <c r="T49">
        <v>-148.99010000000001</v>
      </c>
      <c r="U49">
        <v>1</v>
      </c>
      <c r="V49">
        <v>9000000000</v>
      </c>
      <c r="AA49">
        <v>499</v>
      </c>
      <c r="AB49" t="b">
        <v>0</v>
      </c>
      <c r="AE49">
        <v>500</v>
      </c>
      <c r="AF49" t="b">
        <v>0</v>
      </c>
      <c r="AI49" t="b">
        <v>0</v>
      </c>
      <c r="AJ49" t="s">
        <v>934</v>
      </c>
      <c r="AM49">
        <v>4</v>
      </c>
      <c r="AT49" t="s">
        <v>935</v>
      </c>
      <c r="AU49" t="s">
        <v>120</v>
      </c>
      <c r="AV49" t="s">
        <v>933</v>
      </c>
      <c r="AW49">
        <v>60.153100000000002</v>
      </c>
      <c r="AX49">
        <v>-148.9761</v>
      </c>
      <c r="AY49">
        <v>60.1648</v>
      </c>
      <c r="AZ49">
        <v>-148.99010000000001</v>
      </c>
      <c r="BB49" t="s">
        <v>284</v>
      </c>
      <c r="BC49" t="s">
        <v>134</v>
      </c>
      <c r="BD49">
        <v>2100000</v>
      </c>
      <c r="BE49">
        <v>3100000</v>
      </c>
      <c r="BF49">
        <v>1400000</v>
      </c>
    </row>
    <row r="50" spans="1:58" x14ac:dyDescent="0.2">
      <c r="E50">
        <v>202</v>
      </c>
      <c r="F50" t="s">
        <v>357</v>
      </c>
      <c r="H50">
        <v>202</v>
      </c>
      <c r="R50">
        <v>45.884869999999999</v>
      </c>
      <c r="S50">
        <v>0.4</v>
      </c>
      <c r="T50">
        <v>6.8931899999999997</v>
      </c>
      <c r="U50">
        <v>0</v>
      </c>
      <c r="AA50">
        <v>214</v>
      </c>
      <c r="AB50" t="b">
        <v>0</v>
      </c>
      <c r="AE50">
        <v>0</v>
      </c>
      <c r="AJ50" t="s">
        <v>359</v>
      </c>
      <c r="AM50">
        <v>4</v>
      </c>
      <c r="AT50" t="s">
        <v>360</v>
      </c>
      <c r="AU50" t="s">
        <v>143</v>
      </c>
      <c r="AV50" t="s">
        <v>358</v>
      </c>
      <c r="BB50" t="s">
        <v>312</v>
      </c>
      <c r="BC50" t="s">
        <v>191</v>
      </c>
      <c r="BD50">
        <v>75000</v>
      </c>
      <c r="BE50">
        <v>100000</v>
      </c>
      <c r="BF50">
        <v>50000</v>
      </c>
    </row>
    <row r="51" spans="1:58" x14ac:dyDescent="0.2">
      <c r="E51">
        <v>225</v>
      </c>
      <c r="F51" t="s">
        <v>869</v>
      </c>
      <c r="H51">
        <v>225</v>
      </c>
      <c r="R51">
        <v>46.761110000000002</v>
      </c>
      <c r="S51">
        <v>0</v>
      </c>
      <c r="T51">
        <v>9.9647699999999997</v>
      </c>
      <c r="U51">
        <v>1</v>
      </c>
      <c r="AA51">
        <v>183</v>
      </c>
      <c r="AB51" t="b">
        <v>0</v>
      </c>
      <c r="AE51">
        <v>102</v>
      </c>
      <c r="AF51" t="b">
        <v>1</v>
      </c>
      <c r="AG51">
        <v>0</v>
      </c>
      <c r="AI51" t="b">
        <v>0</v>
      </c>
      <c r="AJ51" t="s">
        <v>871</v>
      </c>
      <c r="AM51">
        <v>4</v>
      </c>
      <c r="AT51" t="s">
        <v>872</v>
      </c>
      <c r="AU51" t="s">
        <v>143</v>
      </c>
      <c r="AV51" t="s">
        <v>870</v>
      </c>
      <c r="AW51">
        <v>46.765500000000003</v>
      </c>
      <c r="AX51">
        <v>9.9576600000000006</v>
      </c>
      <c r="AY51">
        <v>46.761110000000002</v>
      </c>
      <c r="AZ51">
        <v>9.9647699999999997</v>
      </c>
      <c r="BB51" t="s">
        <v>284</v>
      </c>
      <c r="BC51" t="s">
        <v>134</v>
      </c>
      <c r="BF51">
        <v>250000</v>
      </c>
    </row>
    <row r="52" spans="1:58" x14ac:dyDescent="0.2">
      <c r="E52">
        <v>257</v>
      </c>
      <c r="F52" t="s">
        <v>276</v>
      </c>
      <c r="H52">
        <v>257</v>
      </c>
      <c r="I52">
        <v>720</v>
      </c>
      <c r="O52">
        <v>1000</v>
      </c>
      <c r="R52">
        <v>46.38</v>
      </c>
      <c r="S52">
        <v>0</v>
      </c>
      <c r="T52">
        <v>8.4399700000000006</v>
      </c>
      <c r="U52">
        <v>1</v>
      </c>
      <c r="AA52">
        <v>266</v>
      </c>
      <c r="AB52" t="b">
        <v>0</v>
      </c>
      <c r="AE52">
        <v>202</v>
      </c>
      <c r="AF52" t="b">
        <v>1</v>
      </c>
      <c r="AJ52" t="s">
        <v>667</v>
      </c>
      <c r="AM52">
        <v>4</v>
      </c>
      <c r="AT52" t="s">
        <v>668</v>
      </c>
      <c r="AU52" t="s">
        <v>143</v>
      </c>
      <c r="AV52" t="s">
        <v>666</v>
      </c>
      <c r="AW52">
        <v>46.373249999999999</v>
      </c>
      <c r="AX52">
        <v>8.4313500000000001</v>
      </c>
      <c r="AY52">
        <v>46.38</v>
      </c>
      <c r="AZ52">
        <v>8.4399700000000006</v>
      </c>
      <c r="BB52" t="s">
        <v>303</v>
      </c>
      <c r="BC52" t="s">
        <v>134</v>
      </c>
      <c r="BD52">
        <v>175000</v>
      </c>
      <c r="BE52">
        <v>210000</v>
      </c>
      <c r="BF52">
        <v>140000</v>
      </c>
    </row>
    <row r="53" spans="1:58" x14ac:dyDescent="0.2">
      <c r="E53">
        <v>261</v>
      </c>
      <c r="F53" t="s">
        <v>276</v>
      </c>
      <c r="H53">
        <v>261</v>
      </c>
      <c r="I53">
        <v>490</v>
      </c>
      <c r="O53">
        <v>650</v>
      </c>
      <c r="R53">
        <v>46.38</v>
      </c>
      <c r="S53">
        <v>0</v>
      </c>
      <c r="T53">
        <v>8.4399700000000006</v>
      </c>
      <c r="U53">
        <v>1</v>
      </c>
      <c r="AA53">
        <v>226</v>
      </c>
      <c r="AB53" t="b">
        <v>1</v>
      </c>
      <c r="AE53">
        <v>48</v>
      </c>
      <c r="AF53" t="b">
        <v>1</v>
      </c>
      <c r="AJ53" t="s">
        <v>551</v>
      </c>
      <c r="AM53">
        <v>4</v>
      </c>
      <c r="AT53" t="s">
        <v>552</v>
      </c>
      <c r="AU53" t="s">
        <v>143</v>
      </c>
      <c r="AV53" t="s">
        <v>550</v>
      </c>
      <c r="AW53">
        <v>46.373249999999999</v>
      </c>
      <c r="AX53">
        <v>8.4313500000000001</v>
      </c>
      <c r="AY53">
        <v>46.38</v>
      </c>
      <c r="AZ53">
        <v>8.4399700000000006</v>
      </c>
      <c r="BB53" t="s">
        <v>303</v>
      </c>
      <c r="BC53" t="s">
        <v>134</v>
      </c>
      <c r="BD53">
        <v>90000</v>
      </c>
      <c r="BE53">
        <v>108000</v>
      </c>
      <c r="BF53">
        <v>72000</v>
      </c>
    </row>
    <row r="54" spans="1:58" x14ac:dyDescent="0.2">
      <c r="E54">
        <v>258</v>
      </c>
      <c r="F54" t="s">
        <v>276</v>
      </c>
      <c r="H54">
        <v>258</v>
      </c>
      <c r="I54">
        <v>700</v>
      </c>
      <c r="O54">
        <v>960</v>
      </c>
      <c r="R54">
        <v>46.38</v>
      </c>
      <c r="S54">
        <v>0</v>
      </c>
      <c r="T54">
        <v>8.4399700000000006</v>
      </c>
      <c r="U54">
        <v>1</v>
      </c>
      <c r="AA54">
        <v>424</v>
      </c>
      <c r="AB54" t="b">
        <v>0</v>
      </c>
      <c r="AE54">
        <v>19</v>
      </c>
      <c r="AF54" t="b">
        <v>1</v>
      </c>
      <c r="AJ54" t="s">
        <v>579</v>
      </c>
      <c r="AM54">
        <v>4</v>
      </c>
      <c r="AT54" t="s">
        <v>580</v>
      </c>
      <c r="AU54" t="s">
        <v>143</v>
      </c>
      <c r="AV54" t="s">
        <v>578</v>
      </c>
      <c r="AW54">
        <v>46.373249999999999</v>
      </c>
      <c r="AX54">
        <v>8.4313500000000001</v>
      </c>
      <c r="AY54">
        <v>46.38</v>
      </c>
      <c r="AZ54">
        <v>8.4399700000000006</v>
      </c>
      <c r="BB54" t="s">
        <v>303</v>
      </c>
      <c r="BC54" t="s">
        <v>134</v>
      </c>
      <c r="BD54">
        <v>180000</v>
      </c>
      <c r="BE54">
        <v>216000</v>
      </c>
      <c r="BF54">
        <v>144000</v>
      </c>
    </row>
    <row r="55" spans="1:58" x14ac:dyDescent="0.2">
      <c r="E55">
        <v>183</v>
      </c>
      <c r="F55" s="9" t="s">
        <v>365</v>
      </c>
      <c r="H55" s="9">
        <v>183</v>
      </c>
      <c r="R55" s="9">
        <v>46.671990000000001</v>
      </c>
      <c r="T55" s="9">
        <v>10.72268</v>
      </c>
      <c r="U55">
        <v>0</v>
      </c>
      <c r="Y55">
        <v>3</v>
      </c>
      <c r="AA55">
        <v>3</v>
      </c>
      <c r="AB55" t="b">
        <v>1</v>
      </c>
      <c r="AE55">
        <v>0</v>
      </c>
      <c r="AJ55" s="9" t="s">
        <v>140</v>
      </c>
      <c r="AK55" s="9" t="s">
        <v>96</v>
      </c>
      <c r="AL55" s="10" t="s">
        <v>141</v>
      </c>
      <c r="AM55">
        <v>5</v>
      </c>
      <c r="AN55">
        <v>80</v>
      </c>
      <c r="AQ55">
        <v>2</v>
      </c>
      <c r="AT55" s="9" t="s">
        <v>145</v>
      </c>
      <c r="AU55" t="s">
        <v>146</v>
      </c>
      <c r="AV55" s="9" t="s">
        <v>494</v>
      </c>
      <c r="BA55">
        <v>6.3</v>
      </c>
      <c r="BB55" s="9" t="s">
        <v>121</v>
      </c>
      <c r="BC55" s="9" t="s">
        <v>122</v>
      </c>
      <c r="BD55">
        <v>10000</v>
      </c>
    </row>
    <row r="56" spans="1:58" x14ac:dyDescent="0.2">
      <c r="E56">
        <v>184</v>
      </c>
      <c r="F56" s="9" t="s">
        <v>365</v>
      </c>
      <c r="H56" s="9">
        <v>184</v>
      </c>
      <c r="R56" s="9">
        <v>46.671990000000001</v>
      </c>
      <c r="T56" s="9">
        <v>10.72268</v>
      </c>
      <c r="U56">
        <v>0</v>
      </c>
      <c r="Y56">
        <v>3</v>
      </c>
      <c r="AA56">
        <v>3</v>
      </c>
      <c r="AB56" t="b">
        <v>1</v>
      </c>
      <c r="AE56">
        <v>0</v>
      </c>
      <c r="AJ56" s="9" t="s">
        <v>147</v>
      </c>
      <c r="AK56" s="9" t="s">
        <v>96</v>
      </c>
      <c r="AL56" s="10" t="s">
        <v>141</v>
      </c>
      <c r="AM56">
        <v>5</v>
      </c>
      <c r="AN56">
        <v>26</v>
      </c>
      <c r="AQ56">
        <v>1.6</v>
      </c>
      <c r="AT56" s="9" t="s">
        <v>150</v>
      </c>
      <c r="AU56" t="s">
        <v>146</v>
      </c>
      <c r="AV56" s="9" t="s">
        <v>508</v>
      </c>
      <c r="BA56">
        <v>6.3</v>
      </c>
      <c r="BB56" s="9" t="s">
        <v>121</v>
      </c>
      <c r="BC56" s="9" t="s">
        <v>122</v>
      </c>
      <c r="BD56">
        <v>11600</v>
      </c>
    </row>
    <row r="57" spans="1:58" x14ac:dyDescent="0.2">
      <c r="E57">
        <v>185</v>
      </c>
      <c r="F57" s="9" t="s">
        <v>365</v>
      </c>
      <c r="H57" s="9">
        <v>185</v>
      </c>
      <c r="R57" s="9">
        <v>46.671990000000001</v>
      </c>
      <c r="T57" s="9">
        <v>10.72268</v>
      </c>
      <c r="U57">
        <v>0</v>
      </c>
      <c r="Y57">
        <v>3</v>
      </c>
      <c r="AA57">
        <v>3</v>
      </c>
      <c r="AB57" t="b">
        <v>1</v>
      </c>
      <c r="AE57">
        <v>0</v>
      </c>
      <c r="AJ57" s="9" t="s">
        <v>148</v>
      </c>
      <c r="AK57" s="9" t="s">
        <v>96</v>
      </c>
      <c r="AL57" s="10" t="s">
        <v>141</v>
      </c>
      <c r="AM57">
        <v>5</v>
      </c>
      <c r="AN57">
        <v>27</v>
      </c>
      <c r="AQ57">
        <v>1.7</v>
      </c>
      <c r="AT57" s="9" t="s">
        <v>151</v>
      </c>
      <c r="AU57" t="s">
        <v>146</v>
      </c>
      <c r="AV57" s="9" t="s">
        <v>509</v>
      </c>
      <c r="BA57">
        <v>6.3</v>
      </c>
      <c r="BB57" s="9" t="s">
        <v>121</v>
      </c>
      <c r="BC57" s="9" t="s">
        <v>122</v>
      </c>
      <c r="BD57">
        <v>12600</v>
      </c>
    </row>
    <row r="58" spans="1:58" x14ac:dyDescent="0.2">
      <c r="E58">
        <v>209</v>
      </c>
      <c r="F58" t="s">
        <v>336</v>
      </c>
      <c r="H58">
        <v>209</v>
      </c>
      <c r="R58">
        <v>47.117899999999999</v>
      </c>
      <c r="S58">
        <v>0.25</v>
      </c>
      <c r="T58">
        <v>11.799200000000001</v>
      </c>
      <c r="U58">
        <v>0</v>
      </c>
      <c r="AA58">
        <v>57</v>
      </c>
      <c r="AB58" t="b">
        <v>0</v>
      </c>
      <c r="AE58">
        <v>0</v>
      </c>
      <c r="AJ58" t="s">
        <v>1030</v>
      </c>
      <c r="AM58">
        <v>3</v>
      </c>
      <c r="AT58" t="s">
        <v>1031</v>
      </c>
      <c r="AU58" t="s">
        <v>143</v>
      </c>
      <c r="AV58" t="s">
        <v>1029</v>
      </c>
      <c r="BB58" t="s">
        <v>303</v>
      </c>
      <c r="BC58" t="s">
        <v>134</v>
      </c>
      <c r="BE58">
        <v>10000</v>
      </c>
      <c r="BF58">
        <v>1000</v>
      </c>
    </row>
    <row r="59" spans="1:58" x14ac:dyDescent="0.2">
      <c r="E59">
        <v>193</v>
      </c>
      <c r="F59" t="s">
        <v>593</v>
      </c>
      <c r="H59">
        <v>193</v>
      </c>
      <c r="R59">
        <v>45.00412</v>
      </c>
      <c r="S59">
        <v>0.2</v>
      </c>
      <c r="T59">
        <v>6.3044799999999999</v>
      </c>
      <c r="U59">
        <v>0</v>
      </c>
      <c r="AA59">
        <v>52</v>
      </c>
      <c r="AB59" t="b">
        <v>0</v>
      </c>
      <c r="AE59">
        <v>0</v>
      </c>
      <c r="AJ59" t="s">
        <v>767</v>
      </c>
      <c r="AM59">
        <v>3</v>
      </c>
      <c r="AT59" t="s">
        <v>768</v>
      </c>
      <c r="AU59" t="s">
        <v>143</v>
      </c>
      <c r="AV59" t="s">
        <v>766</v>
      </c>
      <c r="BB59" t="s">
        <v>280</v>
      </c>
      <c r="BC59" t="s">
        <v>134</v>
      </c>
    </row>
    <row r="60" spans="1:58" x14ac:dyDescent="0.2">
      <c r="E60">
        <v>99</v>
      </c>
      <c r="F60" t="s">
        <v>287</v>
      </c>
      <c r="H60">
        <v>99</v>
      </c>
      <c r="R60">
        <v>37.731900000000003</v>
      </c>
      <c r="T60">
        <v>-119.5736</v>
      </c>
      <c r="U60">
        <v>0</v>
      </c>
      <c r="AA60">
        <v>115</v>
      </c>
      <c r="AB60" t="b">
        <v>1</v>
      </c>
      <c r="AE60">
        <v>0</v>
      </c>
      <c r="AJ60" t="s">
        <v>693</v>
      </c>
      <c r="AM60">
        <v>5</v>
      </c>
      <c r="AT60" t="s">
        <v>694</v>
      </c>
      <c r="AU60" t="s">
        <v>137</v>
      </c>
      <c r="AV60" t="s">
        <v>692</v>
      </c>
      <c r="BB60" t="s">
        <v>312</v>
      </c>
      <c r="BC60" t="s">
        <v>191</v>
      </c>
      <c r="BD60">
        <v>4530</v>
      </c>
    </row>
    <row r="61" spans="1:58" x14ac:dyDescent="0.2">
      <c r="E61">
        <v>204</v>
      </c>
      <c r="F61" t="s">
        <v>308</v>
      </c>
      <c r="H61">
        <v>204</v>
      </c>
      <c r="R61">
        <v>45.95</v>
      </c>
      <c r="S61">
        <v>4</v>
      </c>
      <c r="T61">
        <v>7.06</v>
      </c>
      <c r="U61">
        <v>0</v>
      </c>
      <c r="AA61">
        <v>148</v>
      </c>
      <c r="AB61" t="b">
        <v>0</v>
      </c>
      <c r="AE61">
        <v>0</v>
      </c>
      <c r="AJ61" t="s">
        <v>937</v>
      </c>
      <c r="AM61">
        <v>1</v>
      </c>
      <c r="AT61" t="s">
        <v>938</v>
      </c>
      <c r="AU61" t="s">
        <v>143</v>
      </c>
      <c r="AV61" t="s">
        <v>936</v>
      </c>
      <c r="BB61" t="s">
        <v>280</v>
      </c>
      <c r="BC61" t="s">
        <v>134</v>
      </c>
    </row>
    <row r="62" spans="1:58" s="9" customFormat="1" x14ac:dyDescent="0.2">
      <c r="A62"/>
      <c r="B62"/>
      <c r="C62"/>
      <c r="D62"/>
      <c r="E62">
        <v>191</v>
      </c>
      <c r="F62" t="s">
        <v>376</v>
      </c>
      <c r="G62"/>
      <c r="H62">
        <v>191</v>
      </c>
      <c r="I62"/>
      <c r="J62"/>
      <c r="K62"/>
      <c r="L62"/>
      <c r="M62"/>
      <c r="N62"/>
      <c r="O62"/>
      <c r="P62"/>
      <c r="Q62"/>
      <c r="R62">
        <v>44.94068</v>
      </c>
      <c r="S62">
        <v>0.55000000000000004</v>
      </c>
      <c r="T62">
        <v>6.4611499999999999</v>
      </c>
      <c r="U62">
        <v>0</v>
      </c>
      <c r="V62"/>
      <c r="W62"/>
      <c r="X62"/>
      <c r="Y62"/>
      <c r="Z62"/>
      <c r="AA62">
        <v>86</v>
      </c>
      <c r="AB62" t="b">
        <v>0</v>
      </c>
      <c r="AC62"/>
      <c r="AD62"/>
      <c r="AE62">
        <v>0</v>
      </c>
      <c r="AF62"/>
      <c r="AG62"/>
      <c r="AH62"/>
      <c r="AI62"/>
      <c r="AJ62" t="s">
        <v>378</v>
      </c>
      <c r="AK62"/>
      <c r="AL62" s="7"/>
      <c r="AM62">
        <v>4</v>
      </c>
      <c r="AN62"/>
      <c r="AO62"/>
      <c r="AP62"/>
      <c r="AQ62"/>
      <c r="AR62"/>
      <c r="AS62"/>
      <c r="AT62" t="s">
        <v>379</v>
      </c>
      <c r="AU62" t="s">
        <v>143</v>
      </c>
      <c r="AV62" t="s">
        <v>377</v>
      </c>
      <c r="AW62"/>
      <c r="AX62"/>
      <c r="AY62"/>
      <c r="AZ62"/>
      <c r="BA62"/>
      <c r="BB62" t="s">
        <v>312</v>
      </c>
      <c r="BC62" t="s">
        <v>191</v>
      </c>
      <c r="BD62"/>
      <c r="BE62"/>
      <c r="BF62"/>
    </row>
    <row r="63" spans="1:58" s="9" customFormat="1" x14ac:dyDescent="0.2">
      <c r="A63"/>
      <c r="B63"/>
      <c r="C63"/>
      <c r="D63"/>
      <c r="E63">
        <v>220</v>
      </c>
      <c r="F63" t="s">
        <v>657</v>
      </c>
      <c r="G63"/>
      <c r="H63">
        <v>220</v>
      </c>
      <c r="I63"/>
      <c r="J63"/>
      <c r="K63"/>
      <c r="L63"/>
      <c r="M63"/>
      <c r="N63"/>
      <c r="O63"/>
      <c r="P63"/>
      <c r="Q63"/>
      <c r="R63">
        <v>47.167299999999997</v>
      </c>
      <c r="S63"/>
      <c r="T63">
        <v>12.763999999999999</v>
      </c>
      <c r="U63">
        <v>0</v>
      </c>
      <c r="V63"/>
      <c r="W63"/>
      <c r="X63"/>
      <c r="Y63"/>
      <c r="Z63"/>
      <c r="AA63">
        <v>227</v>
      </c>
      <c r="AB63" t="b">
        <v>0</v>
      </c>
      <c r="AC63"/>
      <c r="AD63"/>
      <c r="AE63">
        <v>0</v>
      </c>
      <c r="AF63"/>
      <c r="AG63"/>
      <c r="AH63"/>
      <c r="AI63"/>
      <c r="AJ63" t="s">
        <v>659</v>
      </c>
      <c r="AK63"/>
      <c r="AL63"/>
      <c r="AM63">
        <v>1</v>
      </c>
      <c r="AN63"/>
      <c r="AO63"/>
      <c r="AP63"/>
      <c r="AQ63"/>
      <c r="AR63"/>
      <c r="AS63"/>
      <c r="AT63" t="s">
        <v>660</v>
      </c>
      <c r="AU63" t="s">
        <v>143</v>
      </c>
      <c r="AV63" t="s">
        <v>658</v>
      </c>
      <c r="AW63"/>
      <c r="AX63"/>
      <c r="AY63"/>
      <c r="AZ63"/>
      <c r="BA63"/>
      <c r="BB63" t="s">
        <v>280</v>
      </c>
      <c r="BC63" t="s">
        <v>134</v>
      </c>
      <c r="BD63"/>
      <c r="BE63"/>
      <c r="BF63"/>
    </row>
    <row r="64" spans="1:58" s="9" customFormat="1" x14ac:dyDescent="0.2">
      <c r="A64"/>
      <c r="B64"/>
      <c r="C64"/>
      <c r="D64"/>
      <c r="E64">
        <v>221</v>
      </c>
      <c r="F64" t="s">
        <v>451</v>
      </c>
      <c r="G64"/>
      <c r="H64">
        <v>221</v>
      </c>
      <c r="I64"/>
      <c r="J64"/>
      <c r="K64"/>
      <c r="L64"/>
      <c r="M64"/>
      <c r="N64"/>
      <c r="O64"/>
      <c r="P64"/>
      <c r="Q64"/>
      <c r="R64">
        <v>47.167299999999997</v>
      </c>
      <c r="S64"/>
      <c r="T64">
        <v>12.763999999999999</v>
      </c>
      <c r="U64">
        <v>0</v>
      </c>
      <c r="V64"/>
      <c r="W64"/>
      <c r="X64"/>
      <c r="Y64"/>
      <c r="Z64"/>
      <c r="AA64">
        <v>83</v>
      </c>
      <c r="AB64" t="b">
        <v>0</v>
      </c>
      <c r="AC64"/>
      <c r="AD64"/>
      <c r="AE64">
        <v>0</v>
      </c>
      <c r="AF64"/>
      <c r="AG64"/>
      <c r="AH64"/>
      <c r="AI64"/>
      <c r="AJ64" t="s">
        <v>453</v>
      </c>
      <c r="AK64"/>
      <c r="AL64"/>
      <c r="AM64">
        <v>1</v>
      </c>
      <c r="AN64"/>
      <c r="AO64"/>
      <c r="AP64"/>
      <c r="AQ64"/>
      <c r="AR64"/>
      <c r="AS64"/>
      <c r="AT64" t="s">
        <v>454</v>
      </c>
      <c r="AU64" t="s">
        <v>143</v>
      </c>
      <c r="AV64" t="s">
        <v>452</v>
      </c>
      <c r="AW64"/>
      <c r="AX64"/>
      <c r="AY64"/>
      <c r="AZ64"/>
      <c r="BA64"/>
      <c r="BB64" t="s">
        <v>280</v>
      </c>
      <c r="BC64" t="s">
        <v>134</v>
      </c>
      <c r="BD64"/>
      <c r="BE64"/>
      <c r="BF64"/>
    </row>
    <row r="65" spans="1:58" x14ac:dyDescent="0.2">
      <c r="E65">
        <v>102</v>
      </c>
      <c r="F65" t="s">
        <v>287</v>
      </c>
      <c r="H65">
        <v>102</v>
      </c>
      <c r="R65">
        <v>37.749000000000002</v>
      </c>
      <c r="T65">
        <v>-119.5432</v>
      </c>
      <c r="U65">
        <v>0</v>
      </c>
      <c r="AA65">
        <v>76</v>
      </c>
      <c r="AB65" t="b">
        <v>1</v>
      </c>
      <c r="AE65">
        <v>0</v>
      </c>
      <c r="AJ65" t="s">
        <v>913</v>
      </c>
      <c r="AM65">
        <v>5</v>
      </c>
      <c r="AT65" t="s">
        <v>914</v>
      </c>
      <c r="AU65" t="s">
        <v>137</v>
      </c>
      <c r="AV65" t="s">
        <v>912</v>
      </c>
      <c r="BB65" t="s">
        <v>312</v>
      </c>
      <c r="BC65" t="s">
        <v>191</v>
      </c>
      <c r="BD65">
        <v>735</v>
      </c>
    </row>
    <row r="66" spans="1:58" x14ac:dyDescent="0.2">
      <c r="E66">
        <v>197</v>
      </c>
      <c r="F66" t="s">
        <v>316</v>
      </c>
      <c r="H66">
        <v>197</v>
      </c>
      <c r="R66">
        <v>44.61</v>
      </c>
      <c r="S66">
        <v>5</v>
      </c>
      <c r="T66">
        <v>6.76</v>
      </c>
      <c r="U66">
        <v>0</v>
      </c>
      <c r="AA66">
        <v>31</v>
      </c>
      <c r="AB66" t="b">
        <v>0</v>
      </c>
      <c r="AE66">
        <v>0</v>
      </c>
      <c r="AJ66" t="s">
        <v>1043</v>
      </c>
      <c r="AM66">
        <v>1</v>
      </c>
      <c r="AT66" t="s">
        <v>1044</v>
      </c>
      <c r="AU66" t="s">
        <v>143</v>
      </c>
      <c r="AV66" t="s">
        <v>1042</v>
      </c>
      <c r="BB66" t="s">
        <v>280</v>
      </c>
      <c r="BC66" t="s">
        <v>134</v>
      </c>
    </row>
    <row r="67" spans="1:58" x14ac:dyDescent="0.2">
      <c r="E67">
        <v>208</v>
      </c>
      <c r="F67" t="s">
        <v>380</v>
      </c>
      <c r="H67">
        <v>208</v>
      </c>
      <c r="R67">
        <v>47.353499999999997</v>
      </c>
      <c r="S67">
        <v>0.15</v>
      </c>
      <c r="T67">
        <v>11.004099999999999</v>
      </c>
      <c r="U67">
        <v>0</v>
      </c>
      <c r="AA67">
        <v>155</v>
      </c>
      <c r="AB67" t="b">
        <v>0</v>
      </c>
      <c r="AE67">
        <v>0</v>
      </c>
      <c r="AJ67" t="s">
        <v>382</v>
      </c>
      <c r="AL67" s="7"/>
      <c r="AM67">
        <v>3</v>
      </c>
      <c r="AT67" t="s">
        <v>383</v>
      </c>
      <c r="AU67" t="s">
        <v>143</v>
      </c>
      <c r="AV67" t="s">
        <v>381</v>
      </c>
      <c r="BB67" t="s">
        <v>303</v>
      </c>
      <c r="BC67" t="s">
        <v>134</v>
      </c>
      <c r="BD67">
        <v>150000</v>
      </c>
    </row>
    <row r="68" spans="1:58" x14ac:dyDescent="0.2">
      <c r="D68">
        <v>1090000</v>
      </c>
      <c r="E68">
        <v>268</v>
      </c>
      <c r="F68" t="s">
        <v>267</v>
      </c>
      <c r="H68">
        <v>268</v>
      </c>
      <c r="I68">
        <v>650</v>
      </c>
      <c r="O68">
        <v>3000</v>
      </c>
      <c r="R68">
        <v>23.161999999999999</v>
      </c>
      <c r="S68">
        <v>0</v>
      </c>
      <c r="T68">
        <v>120.64400000000001</v>
      </c>
      <c r="U68">
        <v>1</v>
      </c>
      <c r="AA68">
        <v>219</v>
      </c>
      <c r="AB68" t="b">
        <v>1</v>
      </c>
      <c r="AE68">
        <v>282</v>
      </c>
      <c r="AF68" t="b">
        <v>0</v>
      </c>
      <c r="AJ68" t="s">
        <v>149</v>
      </c>
      <c r="AM68">
        <v>5</v>
      </c>
      <c r="AN68">
        <v>70649</v>
      </c>
      <c r="AT68" t="s">
        <v>152</v>
      </c>
      <c r="AU68" t="s">
        <v>120</v>
      </c>
      <c r="AV68" t="s">
        <v>510</v>
      </c>
      <c r="BA68">
        <v>519.5</v>
      </c>
      <c r="BB68" t="s">
        <v>153</v>
      </c>
      <c r="BC68" t="s">
        <v>134</v>
      </c>
      <c r="BD68">
        <v>25000000</v>
      </c>
      <c r="BE68">
        <v>26000000</v>
      </c>
      <c r="BF68">
        <v>22000000</v>
      </c>
    </row>
    <row r="69" spans="1:58" x14ac:dyDescent="0.2">
      <c r="A69">
        <v>240000</v>
      </c>
      <c r="B69">
        <v>300000</v>
      </c>
      <c r="C69">
        <v>140000</v>
      </c>
      <c r="D69">
        <v>4600000</v>
      </c>
      <c r="E69">
        <v>187</v>
      </c>
      <c r="F69" t="s">
        <v>287</v>
      </c>
      <c r="H69">
        <v>187</v>
      </c>
      <c r="I69">
        <v>1100</v>
      </c>
      <c r="J69">
        <v>1200</v>
      </c>
      <c r="K69">
        <v>700</v>
      </c>
      <c r="O69">
        <v>5500</v>
      </c>
      <c r="P69">
        <v>5900</v>
      </c>
      <c r="Q69">
        <v>4500</v>
      </c>
      <c r="R69">
        <v>60.0839</v>
      </c>
      <c r="S69">
        <v>0.15</v>
      </c>
      <c r="T69">
        <v>-139.53469999999999</v>
      </c>
      <c r="U69">
        <v>1</v>
      </c>
      <c r="V69">
        <v>29000000000</v>
      </c>
      <c r="AA69">
        <v>500</v>
      </c>
      <c r="AB69" t="b">
        <v>0</v>
      </c>
      <c r="AE69">
        <v>500</v>
      </c>
      <c r="AF69" t="b">
        <v>0</v>
      </c>
      <c r="AJ69" t="s">
        <v>538</v>
      </c>
      <c r="AM69">
        <v>4</v>
      </c>
      <c r="AT69" t="s">
        <v>539</v>
      </c>
      <c r="AU69" t="s">
        <v>143</v>
      </c>
      <c r="AV69" t="s">
        <v>537</v>
      </c>
      <c r="AW69">
        <v>60.041400000000003</v>
      </c>
      <c r="AX69">
        <v>-139.55510000000001</v>
      </c>
      <c r="AY69">
        <v>60.0839</v>
      </c>
      <c r="AZ69">
        <v>-139.53469999999999</v>
      </c>
      <c r="BB69" t="s">
        <v>284</v>
      </c>
      <c r="BC69" t="s">
        <v>134</v>
      </c>
      <c r="BD69">
        <v>9000000</v>
      </c>
      <c r="BE69">
        <v>13000000</v>
      </c>
      <c r="BF69">
        <v>6100000</v>
      </c>
    </row>
    <row r="70" spans="1:58" x14ac:dyDescent="0.2">
      <c r="E70">
        <v>269</v>
      </c>
      <c r="F70" t="s">
        <v>543</v>
      </c>
      <c r="H70">
        <v>269</v>
      </c>
      <c r="I70">
        <v>1175</v>
      </c>
      <c r="O70">
        <v>1300</v>
      </c>
      <c r="R70">
        <v>36.317900000000002</v>
      </c>
      <c r="S70">
        <v>0</v>
      </c>
      <c r="T70">
        <v>74.822999999999993</v>
      </c>
      <c r="U70">
        <v>1</v>
      </c>
      <c r="V70">
        <v>110000000000</v>
      </c>
      <c r="AA70">
        <v>773</v>
      </c>
      <c r="AB70" t="b">
        <v>0</v>
      </c>
      <c r="AE70">
        <v>790</v>
      </c>
      <c r="AF70" t="b">
        <v>0</v>
      </c>
      <c r="AJ70" t="s">
        <v>545</v>
      </c>
      <c r="AM70">
        <v>4</v>
      </c>
      <c r="AT70" t="s">
        <v>546</v>
      </c>
      <c r="AU70" t="s">
        <v>120</v>
      </c>
      <c r="AV70" t="s">
        <v>544</v>
      </c>
      <c r="AW70">
        <v>36.305599999999998</v>
      </c>
      <c r="AX70">
        <v>74.819699999999997</v>
      </c>
      <c r="AY70">
        <v>36.317900000000002</v>
      </c>
      <c r="AZ70">
        <v>74.822999999999993</v>
      </c>
      <c r="BB70" t="s">
        <v>280</v>
      </c>
      <c r="BC70" t="s">
        <v>134</v>
      </c>
      <c r="BD70">
        <v>45000000</v>
      </c>
    </row>
    <row r="71" spans="1:58" x14ac:dyDescent="0.2">
      <c r="A71">
        <v>480000</v>
      </c>
      <c r="B71">
        <v>680000</v>
      </c>
      <c r="C71">
        <v>440000</v>
      </c>
      <c r="D71">
        <v>1700000</v>
      </c>
      <c r="E71">
        <v>59</v>
      </c>
      <c r="F71" t="s">
        <v>267</v>
      </c>
      <c r="H71">
        <v>59</v>
      </c>
      <c r="K71">
        <v>720</v>
      </c>
      <c r="Q71">
        <v>1600</v>
      </c>
      <c r="R71">
        <v>60.173740000000002</v>
      </c>
      <c r="S71">
        <v>0</v>
      </c>
      <c r="T71">
        <v>-141.18217999999999</v>
      </c>
      <c r="U71">
        <v>1</v>
      </c>
      <c r="V71">
        <v>180000000000</v>
      </c>
      <c r="AA71">
        <v>465</v>
      </c>
      <c r="AB71" t="b">
        <v>1</v>
      </c>
      <c r="AE71">
        <v>600</v>
      </c>
      <c r="AF71" t="b">
        <v>0</v>
      </c>
      <c r="AJ71" t="s">
        <v>488</v>
      </c>
      <c r="AM71">
        <v>4</v>
      </c>
      <c r="AT71" t="s">
        <v>489</v>
      </c>
      <c r="AU71" t="s">
        <v>137</v>
      </c>
      <c r="AV71" t="s">
        <v>487</v>
      </c>
      <c r="AW71">
        <v>60.16525</v>
      </c>
      <c r="AX71">
        <v>-141.17053999999999</v>
      </c>
      <c r="AY71">
        <v>60.179250000000003</v>
      </c>
      <c r="AZ71">
        <v>-141.20138</v>
      </c>
      <c r="BB71" t="s">
        <v>284</v>
      </c>
      <c r="BC71" t="s">
        <v>134</v>
      </c>
      <c r="BD71">
        <v>72000000</v>
      </c>
    </row>
    <row r="72" spans="1:58" x14ac:dyDescent="0.2">
      <c r="E72">
        <v>49</v>
      </c>
      <c r="F72" t="s">
        <v>267</v>
      </c>
      <c r="H72">
        <v>49</v>
      </c>
      <c r="I72">
        <v>1000</v>
      </c>
      <c r="J72">
        <v>1200</v>
      </c>
      <c r="K72">
        <v>900</v>
      </c>
      <c r="O72">
        <v>2000</v>
      </c>
      <c r="P72">
        <v>2400</v>
      </c>
      <c r="Q72">
        <v>1800</v>
      </c>
      <c r="R72">
        <v>60.031750000000002</v>
      </c>
      <c r="S72">
        <v>0.1</v>
      </c>
      <c r="T72">
        <v>-153.07787999999999</v>
      </c>
      <c r="U72">
        <v>0</v>
      </c>
      <c r="AA72">
        <v>60</v>
      </c>
      <c r="AB72" t="b">
        <v>1</v>
      </c>
      <c r="AE72">
        <v>0</v>
      </c>
      <c r="AJ72" t="s">
        <v>346</v>
      </c>
      <c r="AM72">
        <v>2</v>
      </c>
      <c r="AT72" t="s">
        <v>347</v>
      </c>
      <c r="AU72" t="s">
        <v>137</v>
      </c>
      <c r="AV72" t="s">
        <v>345</v>
      </c>
      <c r="AW72">
        <v>60.02646</v>
      </c>
      <c r="AX72">
        <v>-153.04279</v>
      </c>
      <c r="AY72">
        <v>60.031750000000002</v>
      </c>
      <c r="AZ72">
        <v>-153.07787999999999</v>
      </c>
      <c r="BB72" t="s">
        <v>312</v>
      </c>
      <c r="BC72" t="s">
        <v>191</v>
      </c>
    </row>
    <row r="73" spans="1:58" x14ac:dyDescent="0.2">
      <c r="A73">
        <v>13000</v>
      </c>
      <c r="B73">
        <v>17000</v>
      </c>
      <c r="C73">
        <v>6200</v>
      </c>
      <c r="D73">
        <v>330000</v>
      </c>
      <c r="E73">
        <v>50</v>
      </c>
      <c r="F73" t="s">
        <v>267</v>
      </c>
      <c r="H73">
        <v>50</v>
      </c>
      <c r="I73">
        <v>1400</v>
      </c>
      <c r="J73">
        <v>1500</v>
      </c>
      <c r="K73">
        <v>1300</v>
      </c>
      <c r="O73">
        <v>2400</v>
      </c>
      <c r="P73">
        <v>2410</v>
      </c>
      <c r="Q73">
        <v>2300</v>
      </c>
      <c r="R73">
        <v>60.026820000000001</v>
      </c>
      <c r="S73">
        <v>0</v>
      </c>
      <c r="T73">
        <v>-153.06288000000001</v>
      </c>
      <c r="U73">
        <v>0</v>
      </c>
      <c r="AA73">
        <v>9</v>
      </c>
      <c r="AB73" t="b">
        <v>1</v>
      </c>
      <c r="AE73">
        <v>0</v>
      </c>
      <c r="AG73">
        <v>0</v>
      </c>
      <c r="AI73" t="b">
        <v>0</v>
      </c>
      <c r="AJ73" t="s">
        <v>346</v>
      </c>
      <c r="AM73">
        <v>4</v>
      </c>
      <c r="AT73" t="s">
        <v>449</v>
      </c>
      <c r="AU73" t="s">
        <v>137</v>
      </c>
      <c r="AV73" t="s">
        <v>448</v>
      </c>
      <c r="AW73">
        <v>60.023859999999999</v>
      </c>
      <c r="AX73">
        <v>-153.04230000000001</v>
      </c>
      <c r="AY73">
        <v>60.026820000000001</v>
      </c>
      <c r="AZ73">
        <v>-153.06288000000001</v>
      </c>
      <c r="BB73" t="s">
        <v>450</v>
      </c>
      <c r="BC73" t="s">
        <v>134</v>
      </c>
      <c r="BD73">
        <v>150000</v>
      </c>
      <c r="BE73">
        <v>230000</v>
      </c>
      <c r="BF73">
        <v>97000</v>
      </c>
    </row>
    <row r="74" spans="1:58" x14ac:dyDescent="0.2">
      <c r="E74">
        <v>48</v>
      </c>
      <c r="F74" t="s">
        <v>267</v>
      </c>
      <c r="H74">
        <v>48</v>
      </c>
      <c r="R74">
        <v>60.031140000000001</v>
      </c>
      <c r="S74">
        <v>0.2</v>
      </c>
      <c r="T74">
        <v>-153.07990000000001</v>
      </c>
      <c r="U74">
        <v>0</v>
      </c>
      <c r="AA74">
        <v>195</v>
      </c>
      <c r="AB74" t="b">
        <v>1</v>
      </c>
      <c r="AE74">
        <v>0</v>
      </c>
      <c r="AJ74" t="s">
        <v>346</v>
      </c>
      <c r="AM74">
        <v>2</v>
      </c>
      <c r="AT74" t="s">
        <v>522</v>
      </c>
      <c r="AU74" t="s">
        <v>137</v>
      </c>
      <c r="AV74" t="s">
        <v>521</v>
      </c>
      <c r="AY74">
        <v>60.031140000000001</v>
      </c>
      <c r="AZ74">
        <v>-153.07990000000001</v>
      </c>
      <c r="BB74" t="s">
        <v>271</v>
      </c>
      <c r="BC74" t="s">
        <v>134</v>
      </c>
    </row>
    <row r="75" spans="1:58" x14ac:dyDescent="0.2">
      <c r="A75">
        <v>220000</v>
      </c>
      <c r="B75">
        <v>310000</v>
      </c>
      <c r="C75">
        <v>120000</v>
      </c>
      <c r="D75">
        <v>3000000</v>
      </c>
      <c r="E75">
        <v>47</v>
      </c>
      <c r="F75" t="s">
        <v>267</v>
      </c>
      <c r="H75">
        <v>47</v>
      </c>
      <c r="I75">
        <v>1400</v>
      </c>
      <c r="J75">
        <v>1600</v>
      </c>
      <c r="K75">
        <v>1300</v>
      </c>
      <c r="O75">
        <v>4900</v>
      </c>
      <c r="P75">
        <v>5500</v>
      </c>
      <c r="Q75">
        <v>4500</v>
      </c>
      <c r="R75">
        <v>60.02328</v>
      </c>
      <c r="S75">
        <v>0.2</v>
      </c>
      <c r="T75">
        <v>-153.03100000000001</v>
      </c>
      <c r="U75">
        <v>1</v>
      </c>
      <c r="AA75">
        <v>234</v>
      </c>
      <c r="AB75" t="b">
        <v>1</v>
      </c>
      <c r="AE75">
        <v>599</v>
      </c>
      <c r="AF75" t="b">
        <v>1</v>
      </c>
      <c r="AJ75" t="s">
        <v>346</v>
      </c>
      <c r="AM75">
        <v>2</v>
      </c>
      <c r="AT75" t="s">
        <v>705</v>
      </c>
      <c r="AU75" t="s">
        <v>137</v>
      </c>
      <c r="AV75" t="s">
        <v>704</v>
      </c>
      <c r="AW75">
        <v>60.015369999999997</v>
      </c>
      <c r="AX75">
        <v>-152.99270000000001</v>
      </c>
      <c r="AY75">
        <v>60.027479999999997</v>
      </c>
      <c r="AZ75">
        <v>-153.07371000000001</v>
      </c>
      <c r="BB75" t="s">
        <v>341</v>
      </c>
      <c r="BC75" t="s">
        <v>134</v>
      </c>
      <c r="BD75">
        <v>5600000</v>
      </c>
      <c r="BE75">
        <v>12000000</v>
      </c>
      <c r="BF75">
        <v>2700000</v>
      </c>
    </row>
    <row r="76" spans="1:58" x14ac:dyDescent="0.2">
      <c r="E76">
        <v>46</v>
      </c>
      <c r="F76" t="s">
        <v>267</v>
      </c>
      <c r="H76">
        <v>46</v>
      </c>
      <c r="R76">
        <v>60.027160000000002</v>
      </c>
      <c r="S76">
        <v>1</v>
      </c>
      <c r="T76">
        <v>-153.07669999999999</v>
      </c>
      <c r="U76">
        <v>0</v>
      </c>
      <c r="AA76">
        <v>67</v>
      </c>
      <c r="AB76" t="b">
        <v>1</v>
      </c>
      <c r="AE76">
        <v>0</v>
      </c>
      <c r="AJ76" t="s">
        <v>346</v>
      </c>
      <c r="AM76">
        <v>1</v>
      </c>
      <c r="AT76" t="s">
        <v>874</v>
      </c>
      <c r="AU76" t="s">
        <v>137</v>
      </c>
      <c r="AV76" t="s">
        <v>873</v>
      </c>
      <c r="BB76" t="s">
        <v>341</v>
      </c>
      <c r="BC76" t="s">
        <v>134</v>
      </c>
    </row>
    <row r="77" spans="1:58" x14ac:dyDescent="0.2">
      <c r="E77">
        <v>45</v>
      </c>
      <c r="F77" t="s">
        <v>267</v>
      </c>
      <c r="H77">
        <v>45</v>
      </c>
      <c r="I77">
        <v>1700</v>
      </c>
      <c r="J77">
        <v>1900</v>
      </c>
      <c r="K77">
        <v>1500</v>
      </c>
      <c r="O77">
        <v>5000</v>
      </c>
      <c r="P77">
        <v>7000</v>
      </c>
      <c r="Q77">
        <v>4000</v>
      </c>
      <c r="R77">
        <v>60.027160000000002</v>
      </c>
      <c r="S77">
        <v>0.2</v>
      </c>
      <c r="T77">
        <v>-153.07669999999999</v>
      </c>
      <c r="U77">
        <v>0</v>
      </c>
      <c r="AA77">
        <v>52</v>
      </c>
      <c r="AB77" t="b">
        <v>1</v>
      </c>
      <c r="AE77">
        <v>0</v>
      </c>
      <c r="AJ77" t="s">
        <v>346</v>
      </c>
      <c r="AM77">
        <v>2</v>
      </c>
      <c r="AT77" t="s">
        <v>1058</v>
      </c>
      <c r="AU77" t="s">
        <v>137</v>
      </c>
      <c r="AV77" t="s">
        <v>1057</v>
      </c>
      <c r="AW77">
        <v>60.01614</v>
      </c>
      <c r="AX77">
        <v>-152.99288000000001</v>
      </c>
      <c r="AY77">
        <v>60.026490000000003</v>
      </c>
      <c r="AZ77">
        <v>-153.07927000000001</v>
      </c>
      <c r="BB77" t="s">
        <v>450</v>
      </c>
      <c r="BC77" t="s">
        <v>134</v>
      </c>
    </row>
    <row r="78" spans="1:58" x14ac:dyDescent="0.2">
      <c r="E78">
        <v>159</v>
      </c>
      <c r="F78" t="s">
        <v>267</v>
      </c>
      <c r="H78">
        <v>159</v>
      </c>
      <c r="R78">
        <v>60.033000000000001</v>
      </c>
      <c r="S78">
        <v>1</v>
      </c>
      <c r="T78">
        <v>-153.09870000000001</v>
      </c>
      <c r="U78">
        <v>1</v>
      </c>
      <c r="AA78">
        <v>319</v>
      </c>
      <c r="AB78" t="b">
        <v>1</v>
      </c>
      <c r="AE78">
        <v>136</v>
      </c>
      <c r="AF78" t="b">
        <v>1</v>
      </c>
      <c r="AI78" t="b">
        <v>1</v>
      </c>
      <c r="AJ78" t="s">
        <v>346</v>
      </c>
      <c r="AM78">
        <v>2</v>
      </c>
      <c r="AT78" t="s">
        <v>1076</v>
      </c>
      <c r="AU78" t="s">
        <v>143</v>
      </c>
      <c r="AV78" t="s">
        <v>1075</v>
      </c>
      <c r="BB78" t="s">
        <v>341</v>
      </c>
      <c r="BC78" t="s">
        <v>134</v>
      </c>
    </row>
    <row r="79" spans="1:58" x14ac:dyDescent="0.2">
      <c r="D79">
        <v>40000</v>
      </c>
      <c r="E79">
        <v>128</v>
      </c>
      <c r="F79" t="s">
        <v>267</v>
      </c>
      <c r="H79">
        <v>128</v>
      </c>
      <c r="I79">
        <v>200</v>
      </c>
      <c r="O79">
        <v>4000</v>
      </c>
      <c r="R79">
        <v>46.848100000000002</v>
      </c>
      <c r="S79">
        <v>0.5</v>
      </c>
      <c r="T79">
        <v>-121.7458</v>
      </c>
      <c r="U79">
        <v>0</v>
      </c>
      <c r="AA79">
        <v>21</v>
      </c>
      <c r="AB79" t="b">
        <v>1</v>
      </c>
      <c r="AE79">
        <v>0</v>
      </c>
      <c r="AG79">
        <v>0</v>
      </c>
      <c r="AI79" t="b">
        <v>0</v>
      </c>
      <c r="AJ79" t="s">
        <v>586</v>
      </c>
      <c r="AM79">
        <v>3</v>
      </c>
      <c r="AT79" t="s">
        <v>587</v>
      </c>
      <c r="AU79" t="s">
        <v>143</v>
      </c>
      <c r="AV79" t="s">
        <v>585</v>
      </c>
      <c r="BB79" t="s">
        <v>588</v>
      </c>
      <c r="BC79" t="s">
        <v>191</v>
      </c>
      <c r="BD79">
        <v>40000</v>
      </c>
      <c r="BE79">
        <v>160000</v>
      </c>
      <c r="BF79">
        <v>80000</v>
      </c>
    </row>
    <row r="80" spans="1:58" x14ac:dyDescent="0.2">
      <c r="E80">
        <v>259</v>
      </c>
      <c r="F80" t="s">
        <v>267</v>
      </c>
      <c r="H80">
        <v>259</v>
      </c>
      <c r="R80">
        <v>54.757599999999996</v>
      </c>
      <c r="S80">
        <v>4</v>
      </c>
      <c r="T80">
        <v>-163.73150000000001</v>
      </c>
      <c r="U80">
        <v>0</v>
      </c>
      <c r="AA80">
        <v>128</v>
      </c>
      <c r="AB80" t="b">
        <v>1</v>
      </c>
      <c r="AE80">
        <v>0</v>
      </c>
      <c r="AG80">
        <v>0</v>
      </c>
      <c r="AI80" t="b">
        <v>0</v>
      </c>
      <c r="AJ80" t="s">
        <v>867</v>
      </c>
      <c r="AM80">
        <v>1</v>
      </c>
      <c r="AT80" t="s">
        <v>868</v>
      </c>
      <c r="AU80" t="s">
        <v>143</v>
      </c>
      <c r="AV80" t="s">
        <v>866</v>
      </c>
      <c r="BB80" t="s">
        <v>280</v>
      </c>
      <c r="BC80" t="s">
        <v>134</v>
      </c>
    </row>
    <row r="81" spans="1:58" x14ac:dyDescent="0.2">
      <c r="D81">
        <v>595000</v>
      </c>
      <c r="E81">
        <v>130</v>
      </c>
      <c r="F81" t="s">
        <v>267</v>
      </c>
      <c r="H81">
        <v>130</v>
      </c>
      <c r="I81">
        <v>318</v>
      </c>
      <c r="O81">
        <v>1230</v>
      </c>
      <c r="R81">
        <v>58.790599999999998</v>
      </c>
      <c r="S81">
        <v>0</v>
      </c>
      <c r="T81">
        <v>-137.3528</v>
      </c>
      <c r="U81">
        <v>0</v>
      </c>
      <c r="AA81">
        <v>251</v>
      </c>
      <c r="AB81" t="b">
        <v>1</v>
      </c>
      <c r="AE81">
        <v>0</v>
      </c>
      <c r="AJ81" t="s">
        <v>334</v>
      </c>
      <c r="AM81">
        <v>4</v>
      </c>
      <c r="AT81" t="s">
        <v>335</v>
      </c>
      <c r="AU81" t="s">
        <v>143</v>
      </c>
      <c r="AV81" t="s">
        <v>333</v>
      </c>
      <c r="AW81">
        <v>58.800750000000001</v>
      </c>
      <c r="AX81">
        <v>-137.34997000000001</v>
      </c>
      <c r="AY81">
        <v>58.790599999999998</v>
      </c>
      <c r="AZ81">
        <v>-137.3528</v>
      </c>
      <c r="BB81" t="s">
        <v>284</v>
      </c>
      <c r="BC81" t="s">
        <v>134</v>
      </c>
    </row>
    <row r="82" spans="1:58" x14ac:dyDescent="0.2">
      <c r="E82">
        <v>206</v>
      </c>
      <c r="F82" t="s">
        <v>380</v>
      </c>
      <c r="H82">
        <v>206</v>
      </c>
      <c r="R82">
        <v>47.1494</v>
      </c>
      <c r="S82">
        <v>0.1</v>
      </c>
      <c r="T82">
        <v>11.2736</v>
      </c>
      <c r="U82">
        <v>0</v>
      </c>
      <c r="AA82">
        <v>97</v>
      </c>
      <c r="AB82" t="b">
        <v>0</v>
      </c>
      <c r="AE82">
        <v>0</v>
      </c>
      <c r="AJ82" t="s">
        <v>673</v>
      </c>
      <c r="AM82">
        <v>3</v>
      </c>
      <c r="AT82" t="s">
        <v>674</v>
      </c>
      <c r="AU82" t="s">
        <v>143</v>
      </c>
      <c r="AV82" t="s">
        <v>672</v>
      </c>
      <c r="BB82" t="s">
        <v>312</v>
      </c>
      <c r="BC82" t="s">
        <v>191</v>
      </c>
      <c r="BD82">
        <v>1000</v>
      </c>
    </row>
    <row r="83" spans="1:58" x14ac:dyDescent="0.2">
      <c r="E83">
        <v>301</v>
      </c>
      <c r="F83" t="s">
        <v>562</v>
      </c>
      <c r="H83">
        <v>301</v>
      </c>
      <c r="R83">
        <v>46.491</v>
      </c>
      <c r="S83">
        <v>0</v>
      </c>
      <c r="T83">
        <v>7.6580000000000004</v>
      </c>
      <c r="U83">
        <v>1</v>
      </c>
      <c r="AA83">
        <v>283</v>
      </c>
      <c r="AB83" t="b">
        <v>1</v>
      </c>
      <c r="AE83">
        <v>148</v>
      </c>
      <c r="AF83" t="b">
        <v>1</v>
      </c>
      <c r="AG83">
        <v>0</v>
      </c>
      <c r="AI83" t="b">
        <v>0</v>
      </c>
      <c r="AJ83" t="s">
        <v>564</v>
      </c>
      <c r="AM83">
        <v>3</v>
      </c>
      <c r="AT83" t="s">
        <v>565</v>
      </c>
      <c r="AU83" t="s">
        <v>120</v>
      </c>
      <c r="AV83" t="s">
        <v>563</v>
      </c>
      <c r="BB83" t="s">
        <v>312</v>
      </c>
      <c r="BC83" t="s">
        <v>191</v>
      </c>
      <c r="BD83">
        <v>18000</v>
      </c>
      <c r="BE83">
        <v>20000</v>
      </c>
      <c r="BF83">
        <v>15000</v>
      </c>
    </row>
    <row r="84" spans="1:58" x14ac:dyDescent="0.2">
      <c r="E84">
        <v>243</v>
      </c>
      <c r="F84" t="s">
        <v>752</v>
      </c>
      <c r="H84">
        <v>243</v>
      </c>
      <c r="I84">
        <v>130</v>
      </c>
      <c r="O84">
        <v>150</v>
      </c>
      <c r="R84">
        <v>46.917009999999998</v>
      </c>
      <c r="S84">
        <v>0.15</v>
      </c>
      <c r="T84">
        <v>9.0905000000000005</v>
      </c>
      <c r="U84">
        <v>0</v>
      </c>
      <c r="AA84">
        <v>74</v>
      </c>
      <c r="AB84" t="b">
        <v>0</v>
      </c>
      <c r="AE84">
        <v>0</v>
      </c>
      <c r="AJ84" t="s">
        <v>1004</v>
      </c>
      <c r="AM84">
        <v>3</v>
      </c>
      <c r="AT84" t="s">
        <v>1005</v>
      </c>
      <c r="AU84" t="s">
        <v>143</v>
      </c>
      <c r="AV84" t="s">
        <v>1003</v>
      </c>
      <c r="BB84" t="s">
        <v>312</v>
      </c>
      <c r="BC84" t="s">
        <v>191</v>
      </c>
      <c r="BD84">
        <v>3000</v>
      </c>
      <c r="BE84">
        <v>3600</v>
      </c>
      <c r="BF84">
        <v>2400</v>
      </c>
    </row>
    <row r="85" spans="1:58" x14ac:dyDescent="0.2">
      <c r="E85">
        <v>244</v>
      </c>
      <c r="F85" t="s">
        <v>752</v>
      </c>
      <c r="H85">
        <v>244</v>
      </c>
      <c r="I85">
        <v>210</v>
      </c>
      <c r="O85">
        <v>300</v>
      </c>
      <c r="R85">
        <v>46.917009999999998</v>
      </c>
      <c r="S85">
        <v>0.15</v>
      </c>
      <c r="T85">
        <v>9.0905000000000005</v>
      </c>
      <c r="U85">
        <v>0</v>
      </c>
      <c r="AA85">
        <v>159</v>
      </c>
      <c r="AB85" t="b">
        <v>0</v>
      </c>
      <c r="AE85">
        <v>0</v>
      </c>
      <c r="AJ85" t="s">
        <v>789</v>
      </c>
      <c r="AM85">
        <v>3</v>
      </c>
      <c r="AT85" t="s">
        <v>790</v>
      </c>
      <c r="AU85" t="s">
        <v>143</v>
      </c>
      <c r="AV85" t="s">
        <v>788</v>
      </c>
      <c r="BB85" t="s">
        <v>312</v>
      </c>
      <c r="BC85" t="s">
        <v>191</v>
      </c>
      <c r="BD85">
        <v>16000</v>
      </c>
      <c r="BE85">
        <v>19200</v>
      </c>
      <c r="BF85">
        <v>12800</v>
      </c>
    </row>
    <row r="86" spans="1:58" x14ac:dyDescent="0.2">
      <c r="E86">
        <v>250</v>
      </c>
      <c r="F86" t="s">
        <v>436</v>
      </c>
      <c r="H86">
        <v>250</v>
      </c>
      <c r="I86">
        <v>130</v>
      </c>
      <c r="O86">
        <v>180</v>
      </c>
      <c r="R86">
        <v>46.916359999999997</v>
      </c>
      <c r="S86">
        <v>0.3</v>
      </c>
      <c r="T86">
        <v>9.0880700000000001</v>
      </c>
      <c r="U86">
        <v>0</v>
      </c>
      <c r="AA86">
        <v>10</v>
      </c>
      <c r="AB86" t="b">
        <v>0</v>
      </c>
      <c r="AE86">
        <v>0</v>
      </c>
      <c r="AJ86" t="s">
        <v>775</v>
      </c>
      <c r="AM86">
        <v>3</v>
      </c>
      <c r="AT86" t="s">
        <v>776</v>
      </c>
      <c r="AU86" t="s">
        <v>143</v>
      </c>
      <c r="AV86" t="s">
        <v>774</v>
      </c>
      <c r="BB86" t="s">
        <v>312</v>
      </c>
      <c r="BC86" t="s">
        <v>191</v>
      </c>
      <c r="BD86">
        <v>3000</v>
      </c>
      <c r="BE86">
        <v>3600</v>
      </c>
      <c r="BF86">
        <v>2400</v>
      </c>
    </row>
    <row r="87" spans="1:58" x14ac:dyDescent="0.2">
      <c r="E87">
        <v>251</v>
      </c>
      <c r="F87" t="s">
        <v>436</v>
      </c>
      <c r="H87">
        <v>251</v>
      </c>
      <c r="I87">
        <v>130</v>
      </c>
      <c r="O87">
        <v>180</v>
      </c>
      <c r="R87">
        <v>46.916359999999997</v>
      </c>
      <c r="S87">
        <v>0.3</v>
      </c>
      <c r="T87">
        <v>9.0880700000000001</v>
      </c>
      <c r="U87">
        <v>0</v>
      </c>
      <c r="AA87">
        <v>27</v>
      </c>
      <c r="AB87" t="b">
        <v>0</v>
      </c>
      <c r="AE87">
        <v>0</v>
      </c>
      <c r="AJ87" t="s">
        <v>635</v>
      </c>
      <c r="AM87">
        <v>3</v>
      </c>
      <c r="AT87" t="s">
        <v>636</v>
      </c>
      <c r="AU87" t="s">
        <v>143</v>
      </c>
      <c r="AV87" t="s">
        <v>634</v>
      </c>
      <c r="BB87" t="s">
        <v>312</v>
      </c>
      <c r="BC87" t="s">
        <v>191</v>
      </c>
      <c r="BD87">
        <v>3000</v>
      </c>
      <c r="BE87">
        <v>3600</v>
      </c>
      <c r="BF87">
        <v>2400</v>
      </c>
    </row>
    <row r="88" spans="1:58" x14ac:dyDescent="0.2">
      <c r="E88">
        <v>226</v>
      </c>
      <c r="F88" t="s">
        <v>688</v>
      </c>
      <c r="H88">
        <v>226</v>
      </c>
      <c r="R88">
        <v>47.167079999999999</v>
      </c>
      <c r="S88">
        <v>0.05</v>
      </c>
      <c r="T88">
        <v>13.272169999999999</v>
      </c>
      <c r="U88">
        <v>0</v>
      </c>
      <c r="AA88">
        <v>74</v>
      </c>
      <c r="AB88" t="b">
        <v>0</v>
      </c>
      <c r="AE88">
        <v>0</v>
      </c>
      <c r="AJ88" t="s">
        <v>690</v>
      </c>
      <c r="AM88">
        <v>4</v>
      </c>
      <c r="AT88" t="s">
        <v>691</v>
      </c>
      <c r="AU88" t="s">
        <v>143</v>
      </c>
      <c r="AV88" t="s">
        <v>689</v>
      </c>
      <c r="BB88" t="s">
        <v>312</v>
      </c>
      <c r="BC88" t="s">
        <v>191</v>
      </c>
    </row>
    <row r="89" spans="1:58" x14ac:dyDescent="0.2">
      <c r="E89">
        <v>227</v>
      </c>
      <c r="F89" t="s">
        <v>688</v>
      </c>
      <c r="H89">
        <v>227</v>
      </c>
      <c r="R89">
        <v>47.167079999999999</v>
      </c>
      <c r="S89">
        <v>0.05</v>
      </c>
      <c r="T89">
        <v>13.272169999999999</v>
      </c>
      <c r="U89">
        <v>0</v>
      </c>
      <c r="AA89">
        <v>70</v>
      </c>
      <c r="AB89" t="b">
        <v>0</v>
      </c>
      <c r="AE89">
        <v>0</v>
      </c>
      <c r="AJ89" t="s">
        <v>1078</v>
      </c>
      <c r="AM89">
        <v>4</v>
      </c>
      <c r="AT89" t="s">
        <v>1079</v>
      </c>
      <c r="AU89" t="s">
        <v>143</v>
      </c>
      <c r="AV89" t="s">
        <v>1077</v>
      </c>
      <c r="BB89" t="s">
        <v>312</v>
      </c>
      <c r="BC89" t="s">
        <v>191</v>
      </c>
    </row>
    <row r="90" spans="1:58" x14ac:dyDescent="0.2">
      <c r="A90">
        <v>62000</v>
      </c>
      <c r="B90">
        <v>96000</v>
      </c>
      <c r="C90">
        <v>46000</v>
      </c>
      <c r="D90">
        <v>350000</v>
      </c>
      <c r="E90">
        <v>153</v>
      </c>
      <c r="F90" t="s">
        <v>267</v>
      </c>
      <c r="H90">
        <v>153</v>
      </c>
      <c r="I90">
        <v>400</v>
      </c>
      <c r="O90">
        <v>1090</v>
      </c>
      <c r="P90">
        <v>1100</v>
      </c>
      <c r="Q90">
        <v>1050</v>
      </c>
      <c r="R90">
        <v>40.518599999999999</v>
      </c>
      <c r="S90">
        <v>0</v>
      </c>
      <c r="T90">
        <v>-112.1422</v>
      </c>
      <c r="U90">
        <v>1</v>
      </c>
      <c r="AA90">
        <v>231</v>
      </c>
      <c r="AB90" t="b">
        <v>1</v>
      </c>
      <c r="AE90">
        <v>500</v>
      </c>
      <c r="AF90" t="b">
        <v>0</v>
      </c>
      <c r="AG90">
        <v>0</v>
      </c>
      <c r="AI90" t="b">
        <v>0</v>
      </c>
      <c r="AJ90" t="s">
        <v>610</v>
      </c>
      <c r="AM90">
        <v>4</v>
      </c>
      <c r="AT90" t="s">
        <v>611</v>
      </c>
      <c r="AU90" t="s">
        <v>143</v>
      </c>
      <c r="AV90" t="s">
        <v>609</v>
      </c>
      <c r="AW90">
        <v>40.526899999999998</v>
      </c>
      <c r="AX90">
        <v>-112.1485</v>
      </c>
      <c r="AY90">
        <v>40.518599999999999</v>
      </c>
      <c r="AZ90">
        <v>-112.1422</v>
      </c>
      <c r="BB90" t="s">
        <v>284</v>
      </c>
      <c r="BC90" t="s">
        <v>134</v>
      </c>
      <c r="BD90">
        <v>1300000</v>
      </c>
      <c r="BE90">
        <v>1900000</v>
      </c>
      <c r="BF90">
        <v>930000</v>
      </c>
    </row>
    <row r="91" spans="1:58" x14ac:dyDescent="0.2">
      <c r="E91">
        <v>215</v>
      </c>
      <c r="F91" t="s">
        <v>657</v>
      </c>
      <c r="H91">
        <v>215</v>
      </c>
      <c r="R91">
        <v>46.642499999999998</v>
      </c>
      <c r="S91">
        <v>0</v>
      </c>
      <c r="T91">
        <v>12.1388</v>
      </c>
      <c r="U91">
        <v>1</v>
      </c>
      <c r="AA91">
        <v>382</v>
      </c>
      <c r="AB91" t="b">
        <v>0</v>
      </c>
      <c r="AE91">
        <v>132</v>
      </c>
      <c r="AF91" t="b">
        <v>1</v>
      </c>
      <c r="AJ91" t="s">
        <v>713</v>
      </c>
      <c r="AM91">
        <v>3</v>
      </c>
      <c r="AT91" t="s">
        <v>714</v>
      </c>
      <c r="AU91" t="s">
        <v>143</v>
      </c>
      <c r="AV91" t="s">
        <v>712</v>
      </c>
      <c r="BB91" t="s">
        <v>303</v>
      </c>
      <c r="BC91" t="s">
        <v>134</v>
      </c>
      <c r="BD91">
        <v>650000</v>
      </c>
      <c r="BE91">
        <v>700000</v>
      </c>
      <c r="BF91">
        <v>600000</v>
      </c>
    </row>
    <row r="92" spans="1:58" x14ac:dyDescent="0.2">
      <c r="A92">
        <v>2600000</v>
      </c>
      <c r="B92">
        <v>4000000</v>
      </c>
      <c r="C92">
        <v>1900000</v>
      </c>
      <c r="D92">
        <v>22000000</v>
      </c>
      <c r="E92">
        <v>81</v>
      </c>
      <c r="F92" t="s">
        <v>267</v>
      </c>
      <c r="H92">
        <v>81</v>
      </c>
      <c r="I92">
        <v>1500</v>
      </c>
      <c r="O92">
        <v>10000</v>
      </c>
      <c r="R92">
        <v>58.779179999999997</v>
      </c>
      <c r="S92">
        <v>0</v>
      </c>
      <c r="T92">
        <v>-136.88827000000001</v>
      </c>
      <c r="U92">
        <v>1</v>
      </c>
      <c r="AA92">
        <v>1002</v>
      </c>
      <c r="AB92" t="b">
        <v>1</v>
      </c>
      <c r="AE92">
        <v>500</v>
      </c>
      <c r="AF92" t="b">
        <v>0</v>
      </c>
      <c r="AJ92" t="s">
        <v>328</v>
      </c>
      <c r="AM92">
        <v>4</v>
      </c>
      <c r="AT92" t="s">
        <v>329</v>
      </c>
      <c r="AU92" t="s">
        <v>137</v>
      </c>
      <c r="AV92" t="s">
        <v>327</v>
      </c>
      <c r="AW92">
        <v>58.824330000000003</v>
      </c>
      <c r="AX92">
        <v>-136.88113999999999</v>
      </c>
      <c r="AY92">
        <v>58.731740000000002</v>
      </c>
      <c r="AZ92">
        <v>-136.89472000000001</v>
      </c>
      <c r="BB92" t="s">
        <v>284</v>
      </c>
      <c r="BC92" t="s">
        <v>134</v>
      </c>
      <c r="BD92">
        <v>64000000</v>
      </c>
      <c r="BE92">
        <v>66800000</v>
      </c>
      <c r="BF92">
        <v>61200000</v>
      </c>
    </row>
    <row r="93" spans="1:58" x14ac:dyDescent="0.2">
      <c r="A93">
        <v>330000</v>
      </c>
      <c r="B93">
        <v>400000</v>
      </c>
      <c r="C93">
        <v>250000</v>
      </c>
      <c r="D93">
        <v>7300000</v>
      </c>
      <c r="E93">
        <v>286</v>
      </c>
      <c r="F93" t="s">
        <v>267</v>
      </c>
      <c r="H93">
        <v>286</v>
      </c>
      <c r="I93">
        <v>1080</v>
      </c>
      <c r="J93">
        <v>1100</v>
      </c>
      <c r="K93">
        <v>1000</v>
      </c>
      <c r="O93">
        <v>6300</v>
      </c>
      <c r="P93">
        <v>6400</v>
      </c>
      <c r="Q93">
        <v>6200</v>
      </c>
      <c r="R93">
        <v>58.740499999999997</v>
      </c>
      <c r="S93">
        <v>0</v>
      </c>
      <c r="T93">
        <v>-136.9573</v>
      </c>
      <c r="U93">
        <v>1</v>
      </c>
      <c r="AA93">
        <v>500</v>
      </c>
      <c r="AB93" t="b">
        <v>0</v>
      </c>
      <c r="AE93">
        <v>500</v>
      </c>
      <c r="AF93" t="b">
        <v>0</v>
      </c>
      <c r="AG93">
        <v>200</v>
      </c>
      <c r="AH93" t="b">
        <v>1</v>
      </c>
      <c r="AI93" t="b">
        <v>1</v>
      </c>
      <c r="AJ93" t="s">
        <v>328</v>
      </c>
      <c r="AM93">
        <v>4</v>
      </c>
      <c r="AT93" t="s">
        <v>996</v>
      </c>
      <c r="AU93" t="s">
        <v>120</v>
      </c>
      <c r="AV93" t="s">
        <v>995</v>
      </c>
      <c r="AW93">
        <v>58.762799999999999</v>
      </c>
      <c r="AX93">
        <v>-136.86089999999999</v>
      </c>
      <c r="AY93">
        <v>58.740499999999997</v>
      </c>
      <c r="AZ93">
        <v>-136.9573</v>
      </c>
      <c r="BB93" t="s">
        <v>284</v>
      </c>
      <c r="BC93" t="s">
        <v>134</v>
      </c>
      <c r="BD93">
        <v>14000000</v>
      </c>
      <c r="BE93">
        <v>20000000</v>
      </c>
      <c r="BF93">
        <v>10000000</v>
      </c>
    </row>
    <row r="94" spans="1:58" x14ac:dyDescent="0.2">
      <c r="E94">
        <v>57</v>
      </c>
      <c r="F94" t="s">
        <v>320</v>
      </c>
      <c r="H94">
        <v>57</v>
      </c>
      <c r="I94">
        <v>1750</v>
      </c>
      <c r="O94">
        <v>4950</v>
      </c>
      <c r="R94">
        <v>60.035899999999998</v>
      </c>
      <c r="S94">
        <v>0.2</v>
      </c>
      <c r="T94">
        <v>-153.0789</v>
      </c>
      <c r="U94">
        <v>2</v>
      </c>
      <c r="AA94">
        <v>374</v>
      </c>
      <c r="AB94" t="b">
        <v>1</v>
      </c>
      <c r="AE94">
        <v>500</v>
      </c>
      <c r="AF94" t="b">
        <v>0</v>
      </c>
      <c r="AJ94" t="s">
        <v>829</v>
      </c>
      <c r="AM94">
        <v>5</v>
      </c>
      <c r="AT94" t="s">
        <v>830</v>
      </c>
      <c r="AU94" t="s">
        <v>137</v>
      </c>
      <c r="AV94" t="s">
        <v>828</v>
      </c>
      <c r="AW94">
        <v>60.054200000000002</v>
      </c>
      <c r="AX94">
        <v>-153.00620000000001</v>
      </c>
      <c r="AY94">
        <v>60.035899999999998</v>
      </c>
      <c r="AZ94">
        <v>-153.0789</v>
      </c>
      <c r="BB94" t="s">
        <v>271</v>
      </c>
      <c r="BC94" t="s">
        <v>134</v>
      </c>
      <c r="BD94">
        <v>5000000</v>
      </c>
      <c r="BE94">
        <v>6000000</v>
      </c>
      <c r="BF94">
        <v>4000000</v>
      </c>
    </row>
    <row r="95" spans="1:58" x14ac:dyDescent="0.2">
      <c r="E95">
        <v>196</v>
      </c>
      <c r="F95" t="s">
        <v>376</v>
      </c>
      <c r="H95">
        <v>196</v>
      </c>
      <c r="R95">
        <v>45.09</v>
      </c>
      <c r="S95">
        <v>13</v>
      </c>
      <c r="T95">
        <v>6.2</v>
      </c>
      <c r="U95">
        <v>0</v>
      </c>
      <c r="AA95">
        <v>64</v>
      </c>
      <c r="AB95" t="b">
        <v>0</v>
      </c>
      <c r="AE95">
        <v>0</v>
      </c>
      <c r="AG95">
        <v>0</v>
      </c>
      <c r="AI95" t="b">
        <v>0</v>
      </c>
      <c r="AJ95" t="s">
        <v>940</v>
      </c>
      <c r="AM95">
        <v>1</v>
      </c>
      <c r="AT95" t="s">
        <v>941</v>
      </c>
      <c r="AU95" t="s">
        <v>143</v>
      </c>
      <c r="AV95" t="s">
        <v>939</v>
      </c>
      <c r="BB95" t="s">
        <v>280</v>
      </c>
      <c r="BC95" t="s">
        <v>134</v>
      </c>
    </row>
    <row r="96" spans="1:58" x14ac:dyDescent="0.2">
      <c r="D96">
        <v>280000</v>
      </c>
      <c r="E96">
        <v>177</v>
      </c>
      <c r="F96" t="s">
        <v>267</v>
      </c>
      <c r="H96">
        <v>177</v>
      </c>
      <c r="I96">
        <v>800</v>
      </c>
      <c r="J96">
        <v>1100</v>
      </c>
      <c r="K96">
        <v>700</v>
      </c>
      <c r="O96">
        <v>1500</v>
      </c>
      <c r="P96">
        <v>1600</v>
      </c>
      <c r="Q96">
        <v>1400</v>
      </c>
      <c r="R96">
        <v>46.871699999999997</v>
      </c>
      <c r="S96">
        <v>0.1</v>
      </c>
      <c r="T96">
        <v>-121.7765</v>
      </c>
      <c r="U96">
        <v>1</v>
      </c>
      <c r="AA96">
        <v>148</v>
      </c>
      <c r="AB96" t="b">
        <v>0</v>
      </c>
      <c r="AE96">
        <v>14</v>
      </c>
      <c r="AF96" t="b">
        <v>1</v>
      </c>
      <c r="AG96">
        <v>20</v>
      </c>
      <c r="AH96" t="b">
        <v>1</v>
      </c>
      <c r="AI96" t="b">
        <v>1</v>
      </c>
      <c r="AJ96" t="s">
        <v>976</v>
      </c>
      <c r="AM96">
        <v>4</v>
      </c>
      <c r="AT96" t="s">
        <v>977</v>
      </c>
      <c r="AU96" t="s">
        <v>143</v>
      </c>
      <c r="AV96" t="s">
        <v>975</v>
      </c>
      <c r="AW96">
        <v>46.884399999999999</v>
      </c>
      <c r="AX96">
        <v>-121.7717</v>
      </c>
      <c r="AY96">
        <v>46.871699999999997</v>
      </c>
      <c r="AZ96">
        <v>-121.7765</v>
      </c>
      <c r="BB96" t="s">
        <v>978</v>
      </c>
      <c r="BC96" t="s">
        <v>191</v>
      </c>
      <c r="BD96">
        <v>100000</v>
      </c>
      <c r="BE96">
        <v>160000</v>
      </c>
      <c r="BF96">
        <v>56000</v>
      </c>
    </row>
    <row r="97" spans="1:58" x14ac:dyDescent="0.2">
      <c r="E97">
        <v>230</v>
      </c>
      <c r="F97" t="s">
        <v>304</v>
      </c>
      <c r="H97">
        <v>230</v>
      </c>
      <c r="R97">
        <v>46.7714</v>
      </c>
      <c r="S97">
        <v>0.15</v>
      </c>
      <c r="T97">
        <v>12.742599999999999</v>
      </c>
      <c r="U97">
        <v>0</v>
      </c>
      <c r="AA97">
        <v>55</v>
      </c>
      <c r="AB97" t="b">
        <v>0</v>
      </c>
      <c r="AE97">
        <v>0</v>
      </c>
      <c r="AJ97" t="s">
        <v>306</v>
      </c>
      <c r="AM97">
        <v>1</v>
      </c>
      <c r="AT97" t="s">
        <v>307</v>
      </c>
      <c r="AU97" t="s">
        <v>143</v>
      </c>
      <c r="AV97" t="s">
        <v>305</v>
      </c>
      <c r="BB97" t="s">
        <v>303</v>
      </c>
      <c r="BC97" t="s">
        <v>134</v>
      </c>
    </row>
    <row r="98" spans="1:58" x14ac:dyDescent="0.2">
      <c r="E98">
        <v>266</v>
      </c>
      <c r="F98" t="s">
        <v>267</v>
      </c>
      <c r="H98">
        <v>266</v>
      </c>
      <c r="O98">
        <v>140</v>
      </c>
      <c r="P98">
        <v>160</v>
      </c>
      <c r="Q98">
        <v>120</v>
      </c>
      <c r="R98">
        <v>60.093000000000004</v>
      </c>
      <c r="S98">
        <v>0</v>
      </c>
      <c r="T98">
        <v>-149.4461</v>
      </c>
      <c r="U98">
        <v>0</v>
      </c>
      <c r="AA98">
        <v>2</v>
      </c>
      <c r="AB98" t="b">
        <v>1</v>
      </c>
      <c r="AE98">
        <v>0</v>
      </c>
      <c r="AG98">
        <v>0</v>
      </c>
      <c r="AI98" t="b">
        <v>0</v>
      </c>
      <c r="AJ98" t="s">
        <v>535</v>
      </c>
      <c r="AM98">
        <v>4</v>
      </c>
      <c r="AT98" t="s">
        <v>536</v>
      </c>
      <c r="AU98" t="s">
        <v>120</v>
      </c>
      <c r="AV98" t="s">
        <v>534</v>
      </c>
      <c r="AW98">
        <v>60.093499999999999</v>
      </c>
      <c r="AX98">
        <v>-149.44380000000001</v>
      </c>
      <c r="AY98">
        <v>60.093000000000004</v>
      </c>
      <c r="AZ98">
        <v>-149.4461</v>
      </c>
      <c r="BB98" t="s">
        <v>303</v>
      </c>
      <c r="BC98" t="s">
        <v>134</v>
      </c>
      <c r="BD98">
        <v>76500</v>
      </c>
    </row>
    <row r="99" spans="1:58" x14ac:dyDescent="0.2">
      <c r="A99">
        <v>111000</v>
      </c>
      <c r="D99">
        <v>1130000</v>
      </c>
      <c r="E99">
        <v>127</v>
      </c>
      <c r="F99" t="s">
        <v>267</v>
      </c>
      <c r="H99">
        <v>127</v>
      </c>
      <c r="I99">
        <v>931</v>
      </c>
      <c r="O99">
        <v>3730</v>
      </c>
      <c r="R99">
        <v>60.07385</v>
      </c>
      <c r="S99">
        <v>0</v>
      </c>
      <c r="T99">
        <v>-139.84531999999999</v>
      </c>
      <c r="U99">
        <v>1</v>
      </c>
      <c r="AA99">
        <v>351</v>
      </c>
      <c r="AB99" t="b">
        <v>0</v>
      </c>
      <c r="AE99">
        <v>386</v>
      </c>
      <c r="AF99" t="b">
        <v>0</v>
      </c>
      <c r="AG99">
        <v>0</v>
      </c>
      <c r="AI99" t="b">
        <v>0</v>
      </c>
      <c r="AJ99" t="s">
        <v>282</v>
      </c>
      <c r="AM99">
        <v>4</v>
      </c>
      <c r="AT99" t="s">
        <v>283</v>
      </c>
      <c r="AU99" t="s">
        <v>143</v>
      </c>
      <c r="AV99" t="s">
        <v>281</v>
      </c>
      <c r="AW99">
        <v>60.066160000000004</v>
      </c>
      <c r="AX99">
        <v>-139.90754999999999</v>
      </c>
      <c r="AY99">
        <v>60.07385</v>
      </c>
      <c r="AZ99">
        <v>-139.84531999999999</v>
      </c>
      <c r="BB99" t="s">
        <v>284</v>
      </c>
      <c r="BC99" t="s">
        <v>134</v>
      </c>
      <c r="BD99">
        <v>3000000</v>
      </c>
      <c r="BE99">
        <v>4000000</v>
      </c>
      <c r="BF99">
        <v>2300000</v>
      </c>
    </row>
    <row r="100" spans="1:58" x14ac:dyDescent="0.2">
      <c r="E100">
        <v>253</v>
      </c>
      <c r="F100" t="s">
        <v>780</v>
      </c>
      <c r="H100">
        <v>253</v>
      </c>
      <c r="R100">
        <v>47.060110000000002</v>
      </c>
      <c r="S100">
        <v>0.05</v>
      </c>
      <c r="T100">
        <v>9.7440200000000008</v>
      </c>
      <c r="U100">
        <v>0</v>
      </c>
      <c r="AA100">
        <v>161</v>
      </c>
      <c r="AB100" t="b">
        <v>0</v>
      </c>
      <c r="AE100">
        <v>0</v>
      </c>
      <c r="AG100">
        <v>0</v>
      </c>
      <c r="AI100" t="b">
        <v>0</v>
      </c>
      <c r="AJ100" t="s">
        <v>782</v>
      </c>
      <c r="AM100">
        <v>4</v>
      </c>
      <c r="AT100" t="s">
        <v>783</v>
      </c>
      <c r="AU100" t="s">
        <v>143</v>
      </c>
      <c r="AV100" t="s">
        <v>781</v>
      </c>
      <c r="BB100" t="s">
        <v>312</v>
      </c>
      <c r="BC100" t="s">
        <v>191</v>
      </c>
      <c r="BD100">
        <v>30000</v>
      </c>
    </row>
    <row r="101" spans="1:58" x14ac:dyDescent="0.2">
      <c r="E101">
        <v>198</v>
      </c>
      <c r="F101" t="s">
        <v>316</v>
      </c>
      <c r="H101">
        <v>198</v>
      </c>
      <c r="R101">
        <v>44.65</v>
      </c>
      <c r="S101">
        <v>3</v>
      </c>
      <c r="T101">
        <v>6.46</v>
      </c>
      <c r="U101">
        <v>0</v>
      </c>
      <c r="AA101">
        <v>44</v>
      </c>
      <c r="AB101" t="b">
        <v>0</v>
      </c>
      <c r="AE101">
        <v>0</v>
      </c>
      <c r="AJ101" t="s">
        <v>731</v>
      </c>
      <c r="AM101">
        <v>1</v>
      </c>
      <c r="AT101" t="s">
        <v>732</v>
      </c>
      <c r="AU101" t="s">
        <v>143</v>
      </c>
      <c r="AV101" t="s">
        <v>730</v>
      </c>
      <c r="BB101" t="s">
        <v>280</v>
      </c>
      <c r="BC101" t="s">
        <v>134</v>
      </c>
    </row>
    <row r="102" spans="1:58" x14ac:dyDescent="0.2">
      <c r="E102">
        <v>234</v>
      </c>
      <c r="F102" t="s">
        <v>436</v>
      </c>
      <c r="H102">
        <v>234</v>
      </c>
      <c r="I102">
        <v>480</v>
      </c>
      <c r="O102">
        <v>800</v>
      </c>
      <c r="R102">
        <v>46.167400000000001</v>
      </c>
      <c r="S102">
        <v>0.3</v>
      </c>
      <c r="T102">
        <v>7.7870999999999997</v>
      </c>
      <c r="U102">
        <v>0</v>
      </c>
      <c r="AA102">
        <v>121</v>
      </c>
      <c r="AB102" t="b">
        <v>0</v>
      </c>
      <c r="AE102">
        <v>0</v>
      </c>
      <c r="AJ102" t="s">
        <v>438</v>
      </c>
      <c r="AM102">
        <v>3</v>
      </c>
      <c r="AT102" t="s">
        <v>439</v>
      </c>
      <c r="AU102" t="s">
        <v>143</v>
      </c>
      <c r="AV102" t="s">
        <v>437</v>
      </c>
      <c r="BB102" t="s">
        <v>303</v>
      </c>
      <c r="BC102" t="s">
        <v>134</v>
      </c>
      <c r="BD102">
        <v>70000</v>
      </c>
      <c r="BE102">
        <v>84000</v>
      </c>
      <c r="BF102">
        <v>56000</v>
      </c>
    </row>
    <row r="103" spans="1:58" x14ac:dyDescent="0.2">
      <c r="E103">
        <v>303</v>
      </c>
      <c r="F103" t="s">
        <v>890</v>
      </c>
      <c r="H103">
        <v>303</v>
      </c>
      <c r="I103">
        <v>1020</v>
      </c>
      <c r="J103">
        <v>1060</v>
      </c>
      <c r="K103">
        <v>970</v>
      </c>
      <c r="O103">
        <v>1700</v>
      </c>
      <c r="R103">
        <v>46.101199999999999</v>
      </c>
      <c r="S103">
        <v>0</v>
      </c>
      <c r="T103">
        <v>7.4657</v>
      </c>
      <c r="U103">
        <v>0</v>
      </c>
      <c r="AA103">
        <v>46</v>
      </c>
      <c r="AB103" t="b">
        <v>1</v>
      </c>
      <c r="AE103">
        <v>0</v>
      </c>
      <c r="AJ103" t="s">
        <v>892</v>
      </c>
      <c r="AM103">
        <v>5</v>
      </c>
      <c r="AT103" t="s">
        <v>893</v>
      </c>
      <c r="AU103" t="s">
        <v>120</v>
      </c>
      <c r="AV103" t="s">
        <v>891</v>
      </c>
      <c r="AW103">
        <v>46.1081</v>
      </c>
      <c r="AX103">
        <v>7.4842000000000004</v>
      </c>
      <c r="AY103">
        <v>46.101199999999999</v>
      </c>
      <c r="AZ103">
        <v>7.4657</v>
      </c>
      <c r="BB103" t="s">
        <v>312</v>
      </c>
      <c r="BC103" t="s">
        <v>191</v>
      </c>
      <c r="BD103">
        <v>1750</v>
      </c>
      <c r="BE103">
        <v>2000</v>
      </c>
      <c r="BF103">
        <v>1500</v>
      </c>
    </row>
    <row r="104" spans="1:58" x14ac:dyDescent="0.2">
      <c r="E104">
        <v>214</v>
      </c>
      <c r="F104" t="s">
        <v>299</v>
      </c>
      <c r="H104">
        <v>214</v>
      </c>
      <c r="R104">
        <v>47.351100000000002</v>
      </c>
      <c r="S104">
        <v>0</v>
      </c>
      <c r="T104">
        <v>9.8366000000000007</v>
      </c>
      <c r="U104">
        <v>1</v>
      </c>
      <c r="AA104">
        <v>233</v>
      </c>
      <c r="AB104" t="b">
        <v>0</v>
      </c>
      <c r="AE104">
        <v>49</v>
      </c>
      <c r="AF104" t="b">
        <v>1</v>
      </c>
      <c r="AJ104" t="s">
        <v>1001</v>
      </c>
      <c r="AM104">
        <v>4</v>
      </c>
      <c r="AT104" t="s">
        <v>1002</v>
      </c>
      <c r="AU104" t="s">
        <v>143</v>
      </c>
      <c r="AV104" t="s">
        <v>1000</v>
      </c>
      <c r="AW104">
        <v>47.3489</v>
      </c>
      <c r="AX104">
        <v>9.8391999999999999</v>
      </c>
      <c r="AY104">
        <v>47.351100000000002</v>
      </c>
      <c r="AZ104">
        <v>9.8366000000000007</v>
      </c>
      <c r="BB104" t="s">
        <v>303</v>
      </c>
      <c r="BC104" t="s">
        <v>134</v>
      </c>
      <c r="BF104">
        <v>250000</v>
      </c>
    </row>
    <row r="105" spans="1:58" x14ac:dyDescent="0.2">
      <c r="E105">
        <v>89</v>
      </c>
      <c r="F105" t="s">
        <v>287</v>
      </c>
      <c r="H105">
        <v>89</v>
      </c>
      <c r="R105">
        <v>37.738900000000001</v>
      </c>
      <c r="T105">
        <v>-119.6143</v>
      </c>
      <c r="U105">
        <v>0</v>
      </c>
      <c r="AA105">
        <v>1</v>
      </c>
      <c r="AB105" t="b">
        <v>1</v>
      </c>
      <c r="AE105">
        <v>0</v>
      </c>
      <c r="AJ105" t="s">
        <v>343</v>
      </c>
      <c r="AM105">
        <v>5</v>
      </c>
      <c r="AT105" t="s">
        <v>344</v>
      </c>
      <c r="AU105" t="s">
        <v>137</v>
      </c>
      <c r="AV105" t="s">
        <v>342</v>
      </c>
      <c r="BB105" t="s">
        <v>312</v>
      </c>
      <c r="BC105" t="s">
        <v>191</v>
      </c>
      <c r="BD105">
        <v>10</v>
      </c>
    </row>
    <row r="106" spans="1:58" x14ac:dyDescent="0.2">
      <c r="E106">
        <v>94</v>
      </c>
      <c r="F106" t="s">
        <v>287</v>
      </c>
      <c r="H106">
        <v>94</v>
      </c>
      <c r="R106">
        <v>37.738900000000001</v>
      </c>
      <c r="T106">
        <v>-119.6143</v>
      </c>
      <c r="U106">
        <v>0</v>
      </c>
      <c r="AA106">
        <v>1</v>
      </c>
      <c r="AB106" t="b">
        <v>1</v>
      </c>
      <c r="AE106">
        <v>0</v>
      </c>
      <c r="AJ106" t="s">
        <v>343</v>
      </c>
      <c r="AM106">
        <v>5</v>
      </c>
      <c r="AT106" t="s">
        <v>351</v>
      </c>
      <c r="AU106" t="s">
        <v>137</v>
      </c>
      <c r="AV106" t="s">
        <v>350</v>
      </c>
      <c r="BB106" t="s">
        <v>312</v>
      </c>
      <c r="BC106" t="s">
        <v>191</v>
      </c>
      <c r="BD106">
        <v>10</v>
      </c>
    </row>
    <row r="107" spans="1:58" x14ac:dyDescent="0.2">
      <c r="E107">
        <v>85</v>
      </c>
      <c r="F107" t="s">
        <v>287</v>
      </c>
      <c r="H107">
        <v>85</v>
      </c>
      <c r="R107">
        <v>37.738900000000001</v>
      </c>
      <c r="S107">
        <v>0.2</v>
      </c>
      <c r="T107">
        <v>-119.6143</v>
      </c>
      <c r="U107">
        <v>0</v>
      </c>
      <c r="AA107">
        <v>157</v>
      </c>
      <c r="AB107" t="b">
        <v>1</v>
      </c>
      <c r="AE107">
        <v>0</v>
      </c>
      <c r="AJ107" t="s">
        <v>343</v>
      </c>
      <c r="AL107" s="7"/>
      <c r="AM107">
        <v>5</v>
      </c>
      <c r="AT107" t="s">
        <v>392</v>
      </c>
      <c r="AU107" t="s">
        <v>137</v>
      </c>
      <c r="AV107" t="s">
        <v>391</v>
      </c>
      <c r="BB107" t="s">
        <v>312</v>
      </c>
      <c r="BC107" t="s">
        <v>191</v>
      </c>
      <c r="BD107">
        <v>17477</v>
      </c>
    </row>
    <row r="108" spans="1:58" x14ac:dyDescent="0.2">
      <c r="E108">
        <v>91</v>
      </c>
      <c r="F108" t="s">
        <v>287</v>
      </c>
      <c r="H108">
        <v>91</v>
      </c>
      <c r="R108">
        <v>37.738900000000001</v>
      </c>
      <c r="T108">
        <v>-119.6143</v>
      </c>
      <c r="U108">
        <v>0</v>
      </c>
      <c r="AA108">
        <v>49</v>
      </c>
      <c r="AB108" t="b">
        <v>1</v>
      </c>
      <c r="AE108">
        <v>0</v>
      </c>
      <c r="AJ108" t="s">
        <v>343</v>
      </c>
      <c r="AL108" s="7" t="s">
        <v>497</v>
      </c>
      <c r="AM108">
        <v>5</v>
      </c>
      <c r="AT108" t="s">
        <v>500</v>
      </c>
      <c r="AU108" t="s">
        <v>137</v>
      </c>
      <c r="AV108" t="s">
        <v>499</v>
      </c>
      <c r="BB108" t="s">
        <v>312</v>
      </c>
      <c r="BC108" t="s">
        <v>191</v>
      </c>
      <c r="BD108">
        <v>20</v>
      </c>
    </row>
    <row r="109" spans="1:58" x14ac:dyDescent="0.2">
      <c r="E109">
        <v>92</v>
      </c>
      <c r="F109" t="s">
        <v>287</v>
      </c>
      <c r="H109">
        <v>92</v>
      </c>
      <c r="R109">
        <v>37.738900000000001</v>
      </c>
      <c r="T109">
        <v>-119.6143</v>
      </c>
      <c r="U109">
        <v>0</v>
      </c>
      <c r="AA109">
        <v>1</v>
      </c>
      <c r="AB109" t="b">
        <v>1</v>
      </c>
      <c r="AE109">
        <v>0</v>
      </c>
      <c r="AJ109" t="s">
        <v>343</v>
      </c>
      <c r="AM109">
        <v>5</v>
      </c>
      <c r="AT109" t="s">
        <v>554</v>
      </c>
      <c r="AU109" t="s">
        <v>137</v>
      </c>
      <c r="AV109" t="s">
        <v>553</v>
      </c>
      <c r="BB109" t="s">
        <v>312</v>
      </c>
      <c r="BC109" t="s">
        <v>191</v>
      </c>
      <c r="BD109">
        <v>10</v>
      </c>
    </row>
    <row r="110" spans="1:58" x14ac:dyDescent="0.2">
      <c r="E110">
        <v>96</v>
      </c>
      <c r="F110" t="s">
        <v>287</v>
      </c>
      <c r="H110">
        <v>96</v>
      </c>
      <c r="R110">
        <v>37.738900000000001</v>
      </c>
      <c r="T110">
        <v>-119.6143</v>
      </c>
      <c r="U110">
        <v>0</v>
      </c>
      <c r="AA110">
        <v>1</v>
      </c>
      <c r="AB110" t="b">
        <v>1</v>
      </c>
      <c r="AE110">
        <v>0</v>
      </c>
      <c r="AJ110" t="s">
        <v>343</v>
      </c>
      <c r="AM110">
        <v>5</v>
      </c>
      <c r="AT110" t="s">
        <v>605</v>
      </c>
      <c r="AU110" t="s">
        <v>137</v>
      </c>
      <c r="AV110" t="s">
        <v>604</v>
      </c>
      <c r="BB110" t="s">
        <v>312</v>
      </c>
      <c r="BC110" t="s">
        <v>191</v>
      </c>
      <c r="BD110">
        <v>5</v>
      </c>
    </row>
    <row r="111" spans="1:58" x14ac:dyDescent="0.2">
      <c r="E111">
        <v>93</v>
      </c>
      <c r="F111" t="s">
        <v>287</v>
      </c>
      <c r="H111">
        <v>93</v>
      </c>
      <c r="R111">
        <v>37.738900000000001</v>
      </c>
      <c r="T111">
        <v>-119.6143</v>
      </c>
      <c r="U111">
        <v>0</v>
      </c>
      <c r="AA111">
        <v>1</v>
      </c>
      <c r="AB111" t="b">
        <v>1</v>
      </c>
      <c r="AE111">
        <v>0</v>
      </c>
      <c r="AJ111" t="s">
        <v>343</v>
      </c>
      <c r="AM111">
        <v>5</v>
      </c>
      <c r="AT111" t="s">
        <v>770</v>
      </c>
      <c r="AU111" t="s">
        <v>137</v>
      </c>
      <c r="AV111" t="s">
        <v>769</v>
      </c>
      <c r="BB111" t="s">
        <v>312</v>
      </c>
      <c r="BC111" t="s">
        <v>191</v>
      </c>
      <c r="BD111">
        <v>15</v>
      </c>
    </row>
    <row r="112" spans="1:58" x14ac:dyDescent="0.2">
      <c r="E112">
        <v>90</v>
      </c>
      <c r="F112" t="s">
        <v>287</v>
      </c>
      <c r="H112">
        <v>90</v>
      </c>
      <c r="R112">
        <v>37.738900000000001</v>
      </c>
      <c r="T112">
        <v>-119.6143</v>
      </c>
      <c r="U112">
        <v>0</v>
      </c>
      <c r="AA112">
        <v>1</v>
      </c>
      <c r="AB112" t="b">
        <v>1</v>
      </c>
      <c r="AE112">
        <v>0</v>
      </c>
      <c r="AJ112" t="s">
        <v>343</v>
      </c>
      <c r="AM112">
        <v>5</v>
      </c>
      <c r="AT112" t="s">
        <v>844</v>
      </c>
      <c r="AU112" t="s">
        <v>137</v>
      </c>
      <c r="AV112" t="s">
        <v>843</v>
      </c>
      <c r="BB112" t="s">
        <v>312</v>
      </c>
      <c r="BC112" t="s">
        <v>191</v>
      </c>
      <c r="BD112">
        <v>8</v>
      </c>
    </row>
    <row r="113" spans="1:58" x14ac:dyDescent="0.2">
      <c r="E113">
        <v>95</v>
      </c>
      <c r="F113" t="s">
        <v>287</v>
      </c>
      <c r="H113">
        <v>95</v>
      </c>
      <c r="R113">
        <v>37.738900000000001</v>
      </c>
      <c r="T113">
        <v>-119.6143</v>
      </c>
      <c r="U113">
        <v>0</v>
      </c>
      <c r="AA113">
        <v>1</v>
      </c>
      <c r="AB113" t="b">
        <v>1</v>
      </c>
      <c r="AE113">
        <v>0</v>
      </c>
      <c r="AJ113" t="s">
        <v>343</v>
      </c>
      <c r="AM113">
        <v>5</v>
      </c>
      <c r="AT113" t="s">
        <v>906</v>
      </c>
      <c r="AU113" t="s">
        <v>137</v>
      </c>
      <c r="AV113" t="s">
        <v>905</v>
      </c>
      <c r="BB113" t="s">
        <v>312</v>
      </c>
      <c r="BC113" t="s">
        <v>191</v>
      </c>
      <c r="BD113">
        <v>5</v>
      </c>
    </row>
    <row r="114" spans="1:58" x14ac:dyDescent="0.2">
      <c r="E114">
        <v>87</v>
      </c>
      <c r="F114" t="s">
        <v>287</v>
      </c>
      <c r="H114">
        <v>87</v>
      </c>
      <c r="R114">
        <v>37.738900000000001</v>
      </c>
      <c r="T114">
        <v>-119.6143</v>
      </c>
      <c r="U114">
        <v>0</v>
      </c>
      <c r="AA114">
        <v>57</v>
      </c>
      <c r="AB114" t="b">
        <v>1</v>
      </c>
      <c r="AE114">
        <v>0</v>
      </c>
      <c r="AJ114" t="s">
        <v>343</v>
      </c>
      <c r="AM114">
        <v>5</v>
      </c>
      <c r="AT114" t="s">
        <v>966</v>
      </c>
      <c r="AU114" t="s">
        <v>137</v>
      </c>
      <c r="AV114" t="s">
        <v>965</v>
      </c>
      <c r="BB114" t="s">
        <v>312</v>
      </c>
      <c r="BC114" t="s">
        <v>191</v>
      </c>
      <c r="BD114">
        <v>30</v>
      </c>
    </row>
    <row r="115" spans="1:58" x14ac:dyDescent="0.2">
      <c r="E115">
        <v>88</v>
      </c>
      <c r="F115" t="s">
        <v>287</v>
      </c>
      <c r="H115">
        <v>88</v>
      </c>
      <c r="R115">
        <v>37.738900000000001</v>
      </c>
      <c r="T115">
        <v>-119.6143</v>
      </c>
      <c r="U115">
        <v>0</v>
      </c>
      <c r="AA115">
        <v>1</v>
      </c>
      <c r="AB115" t="b">
        <v>1</v>
      </c>
      <c r="AE115">
        <v>0</v>
      </c>
      <c r="AJ115" t="s">
        <v>343</v>
      </c>
      <c r="AM115">
        <v>5</v>
      </c>
      <c r="AT115" t="s">
        <v>1050</v>
      </c>
      <c r="AU115" t="s">
        <v>137</v>
      </c>
      <c r="AV115" t="s">
        <v>1049</v>
      </c>
      <c r="BB115" t="s">
        <v>312</v>
      </c>
      <c r="BC115" t="s">
        <v>191</v>
      </c>
      <c r="BD115">
        <v>15</v>
      </c>
    </row>
    <row r="116" spans="1:58" x14ac:dyDescent="0.2">
      <c r="E116">
        <v>245</v>
      </c>
      <c r="F116" t="s">
        <v>308</v>
      </c>
      <c r="H116">
        <v>245</v>
      </c>
      <c r="R116">
        <v>45.46801</v>
      </c>
      <c r="S116">
        <v>0.35</v>
      </c>
      <c r="T116">
        <v>5.9313500000000001</v>
      </c>
      <c r="U116">
        <v>0</v>
      </c>
      <c r="AA116">
        <v>134</v>
      </c>
      <c r="AB116" t="b">
        <v>0</v>
      </c>
      <c r="AE116">
        <v>0</v>
      </c>
      <c r="AJ116" t="s">
        <v>1008</v>
      </c>
      <c r="AM116">
        <v>4</v>
      </c>
      <c r="AT116" t="s">
        <v>1009</v>
      </c>
      <c r="AU116" t="s">
        <v>143</v>
      </c>
      <c r="AV116" t="s">
        <v>1007</v>
      </c>
      <c r="BB116" t="s">
        <v>312</v>
      </c>
      <c r="BC116" t="s">
        <v>191</v>
      </c>
      <c r="BD116">
        <v>10000</v>
      </c>
    </row>
    <row r="117" spans="1:58" x14ac:dyDescent="0.2">
      <c r="E117">
        <v>246</v>
      </c>
      <c r="F117" t="s">
        <v>308</v>
      </c>
      <c r="H117">
        <v>246</v>
      </c>
      <c r="R117">
        <v>45.46801</v>
      </c>
      <c r="S117">
        <v>0.35</v>
      </c>
      <c r="T117">
        <v>5.9313500000000001</v>
      </c>
      <c r="U117">
        <v>0</v>
      </c>
      <c r="AA117">
        <v>153</v>
      </c>
      <c r="AB117" t="b">
        <v>0</v>
      </c>
      <c r="AE117">
        <v>0</v>
      </c>
      <c r="AJ117" t="s">
        <v>310</v>
      </c>
      <c r="AM117">
        <v>4</v>
      </c>
      <c r="AT117" t="s">
        <v>311</v>
      </c>
      <c r="AU117" t="s">
        <v>143</v>
      </c>
      <c r="AV117" t="s">
        <v>309</v>
      </c>
      <c r="BB117" t="s">
        <v>312</v>
      </c>
      <c r="BC117" t="s">
        <v>191</v>
      </c>
      <c r="BD117">
        <v>10000</v>
      </c>
    </row>
    <row r="118" spans="1:58" x14ac:dyDescent="0.2">
      <c r="E118">
        <v>247</v>
      </c>
      <c r="F118" t="s">
        <v>308</v>
      </c>
      <c r="H118">
        <v>247</v>
      </c>
      <c r="R118">
        <v>45.46801</v>
      </c>
      <c r="S118">
        <v>0.35</v>
      </c>
      <c r="T118">
        <v>5.9313500000000001</v>
      </c>
      <c r="U118">
        <v>0</v>
      </c>
      <c r="AA118">
        <v>130</v>
      </c>
      <c r="AB118" t="b">
        <v>0</v>
      </c>
      <c r="AE118">
        <v>0</v>
      </c>
      <c r="AJ118" t="s">
        <v>573</v>
      </c>
      <c r="AM118">
        <v>4</v>
      </c>
      <c r="AT118" t="s">
        <v>574</v>
      </c>
      <c r="AU118" t="s">
        <v>143</v>
      </c>
      <c r="AV118" t="s">
        <v>572</v>
      </c>
      <c r="BB118" t="s">
        <v>312</v>
      </c>
      <c r="BC118" t="s">
        <v>191</v>
      </c>
      <c r="BD118">
        <v>10000</v>
      </c>
    </row>
    <row r="119" spans="1:58" x14ac:dyDescent="0.2">
      <c r="E119">
        <v>260</v>
      </c>
      <c r="F119" t="s">
        <v>308</v>
      </c>
      <c r="H119">
        <v>260</v>
      </c>
      <c r="R119">
        <v>45.46801</v>
      </c>
      <c r="S119">
        <v>0.35</v>
      </c>
      <c r="T119">
        <v>5.9313500000000001</v>
      </c>
      <c r="U119">
        <v>0</v>
      </c>
      <c r="AA119">
        <v>266</v>
      </c>
      <c r="AB119" t="b">
        <v>1</v>
      </c>
      <c r="AE119">
        <v>0</v>
      </c>
      <c r="AJ119" t="s">
        <v>491</v>
      </c>
      <c r="AM119">
        <v>4</v>
      </c>
      <c r="AT119" t="s">
        <v>492</v>
      </c>
      <c r="AU119" t="s">
        <v>143</v>
      </c>
      <c r="AV119" t="s">
        <v>490</v>
      </c>
      <c r="BB119" t="s">
        <v>312</v>
      </c>
      <c r="BC119" t="s">
        <v>191</v>
      </c>
      <c r="BD119">
        <v>50000</v>
      </c>
    </row>
    <row r="120" spans="1:58" x14ac:dyDescent="0.2">
      <c r="E120">
        <v>235</v>
      </c>
      <c r="F120" t="s">
        <v>695</v>
      </c>
      <c r="H120">
        <v>235</v>
      </c>
      <c r="I120">
        <v>1900</v>
      </c>
      <c r="O120">
        <v>2900</v>
      </c>
      <c r="R120">
        <v>45.932839999999999</v>
      </c>
      <c r="S120">
        <v>0.5</v>
      </c>
      <c r="T120">
        <v>7.8791500000000001</v>
      </c>
      <c r="U120">
        <v>1</v>
      </c>
      <c r="AA120">
        <v>269</v>
      </c>
      <c r="AB120" t="b">
        <v>0</v>
      </c>
      <c r="AE120">
        <v>200</v>
      </c>
      <c r="AF120" t="b">
        <v>1</v>
      </c>
      <c r="AJ120" t="s">
        <v>697</v>
      </c>
      <c r="AM120">
        <v>3</v>
      </c>
      <c r="AT120" t="s">
        <v>698</v>
      </c>
      <c r="AU120" t="s">
        <v>143</v>
      </c>
      <c r="AV120" t="s">
        <v>696</v>
      </c>
      <c r="BB120" t="s">
        <v>284</v>
      </c>
      <c r="BC120" t="s">
        <v>134</v>
      </c>
      <c r="BD120">
        <v>300000</v>
      </c>
      <c r="BE120">
        <v>360000</v>
      </c>
      <c r="BF120">
        <v>240000</v>
      </c>
    </row>
    <row r="121" spans="1:58" x14ac:dyDescent="0.2">
      <c r="D121">
        <v>1100000</v>
      </c>
      <c r="E121">
        <v>304</v>
      </c>
      <c r="F121" t="s">
        <v>899</v>
      </c>
      <c r="H121">
        <v>304</v>
      </c>
      <c r="I121">
        <v>1700</v>
      </c>
      <c r="O121">
        <v>3000</v>
      </c>
      <c r="R121">
        <v>45.935600000000001</v>
      </c>
      <c r="T121">
        <v>7.88</v>
      </c>
      <c r="U121">
        <v>1</v>
      </c>
      <c r="AA121">
        <v>299</v>
      </c>
      <c r="AB121" t="b">
        <v>1</v>
      </c>
      <c r="AE121">
        <v>280</v>
      </c>
      <c r="AF121" t="b">
        <v>1</v>
      </c>
      <c r="AJ121" t="s">
        <v>697</v>
      </c>
      <c r="AM121">
        <v>5</v>
      </c>
      <c r="AT121" t="s">
        <v>901</v>
      </c>
      <c r="AU121" t="s">
        <v>120</v>
      </c>
      <c r="AV121" t="s">
        <v>900</v>
      </c>
      <c r="BB121" t="s">
        <v>341</v>
      </c>
      <c r="BC121" t="s">
        <v>134</v>
      </c>
      <c r="BD121">
        <v>1400000</v>
      </c>
    </row>
    <row r="122" spans="1:58" x14ac:dyDescent="0.2">
      <c r="D122">
        <v>2600000</v>
      </c>
      <c r="E122">
        <v>157</v>
      </c>
      <c r="F122" t="s">
        <v>516</v>
      </c>
      <c r="H122">
        <v>157</v>
      </c>
      <c r="I122">
        <v>200</v>
      </c>
      <c r="J122">
        <v>250</v>
      </c>
      <c r="K122">
        <v>190</v>
      </c>
      <c r="O122">
        <v>3000</v>
      </c>
      <c r="R122">
        <v>34.450499999999998</v>
      </c>
      <c r="S122">
        <v>3</v>
      </c>
      <c r="T122">
        <v>-119.6259</v>
      </c>
      <c r="U122">
        <v>0</v>
      </c>
      <c r="AA122">
        <v>14</v>
      </c>
      <c r="AB122" t="b">
        <v>1</v>
      </c>
      <c r="AE122">
        <v>0</v>
      </c>
      <c r="AJ122" t="s">
        <v>49</v>
      </c>
      <c r="AL122" s="7" t="s">
        <v>95</v>
      </c>
      <c r="AM122">
        <v>5</v>
      </c>
      <c r="AQ122">
        <v>4</v>
      </c>
      <c r="AR122">
        <v>3</v>
      </c>
      <c r="AS122">
        <v>5</v>
      </c>
      <c r="AT122" t="s">
        <v>154</v>
      </c>
      <c r="AU122" t="s">
        <v>143</v>
      </c>
      <c r="AV122" t="s">
        <v>517</v>
      </c>
      <c r="AW122">
        <v>34.4191</v>
      </c>
      <c r="AX122">
        <v>-119.6251</v>
      </c>
      <c r="AY122">
        <v>34.450499999999998</v>
      </c>
      <c r="AZ122">
        <v>-119.6259</v>
      </c>
      <c r="BA122">
        <v>20</v>
      </c>
      <c r="BB122" t="s">
        <v>121</v>
      </c>
      <c r="BC122" t="s">
        <v>122</v>
      </c>
      <c r="BD122">
        <v>680000</v>
      </c>
    </row>
    <row r="123" spans="1:58" x14ac:dyDescent="0.2">
      <c r="D123">
        <v>600000</v>
      </c>
      <c r="E123">
        <v>158</v>
      </c>
      <c r="F123" t="s">
        <v>523</v>
      </c>
      <c r="H123">
        <v>158</v>
      </c>
      <c r="I123">
        <v>220</v>
      </c>
      <c r="J123">
        <v>230</v>
      </c>
      <c r="K123">
        <v>210</v>
      </c>
      <c r="O123">
        <v>3000</v>
      </c>
      <c r="R123">
        <v>34.425400000000003</v>
      </c>
      <c r="S123">
        <v>0.1</v>
      </c>
      <c r="T123">
        <v>-119.61</v>
      </c>
      <c r="U123">
        <v>0</v>
      </c>
      <c r="Y123">
        <v>0.20361000000000001</v>
      </c>
      <c r="Z123">
        <v>1</v>
      </c>
      <c r="AA123">
        <v>0.20361000000000001</v>
      </c>
      <c r="AB123" t="b">
        <v>1</v>
      </c>
      <c r="AE123">
        <v>0</v>
      </c>
      <c r="AJ123" t="s">
        <v>155</v>
      </c>
      <c r="AL123" s="7" t="s">
        <v>95</v>
      </c>
      <c r="AM123">
        <v>5</v>
      </c>
      <c r="AQ123">
        <v>4.2</v>
      </c>
      <c r="AR123">
        <v>3.5</v>
      </c>
      <c r="AS123">
        <v>4.9000000000000004</v>
      </c>
      <c r="AT123" t="s">
        <v>156</v>
      </c>
      <c r="AU123" t="s">
        <v>143</v>
      </c>
      <c r="AV123" t="s">
        <v>524</v>
      </c>
      <c r="BA123">
        <v>4.8</v>
      </c>
      <c r="BB123" t="s">
        <v>121</v>
      </c>
      <c r="BC123" t="s">
        <v>122</v>
      </c>
      <c r="BD123">
        <v>140000</v>
      </c>
    </row>
    <row r="124" spans="1:58" x14ac:dyDescent="0.2">
      <c r="E124">
        <v>195</v>
      </c>
      <c r="F124" t="s">
        <v>1035</v>
      </c>
      <c r="H124">
        <v>195</v>
      </c>
      <c r="R124">
        <v>45.305900000000001</v>
      </c>
      <c r="S124">
        <v>0.05</v>
      </c>
      <c r="T124">
        <v>5.8888999999999996</v>
      </c>
      <c r="U124">
        <v>0</v>
      </c>
      <c r="AA124">
        <v>205</v>
      </c>
      <c r="AB124" t="b">
        <v>0</v>
      </c>
      <c r="AE124">
        <v>0</v>
      </c>
      <c r="AJ124" t="s">
        <v>1037</v>
      </c>
      <c r="AM124">
        <v>4</v>
      </c>
      <c r="AT124" t="s">
        <v>1038</v>
      </c>
      <c r="AU124" t="s">
        <v>143</v>
      </c>
      <c r="AV124" t="s">
        <v>1036</v>
      </c>
      <c r="AW124">
        <v>45.303699999999999</v>
      </c>
      <c r="AX124">
        <v>5.8925999999999998</v>
      </c>
      <c r="AY124">
        <v>45.305900000000001</v>
      </c>
      <c r="AZ124">
        <v>5.8888999999999996</v>
      </c>
      <c r="BB124" t="s">
        <v>312</v>
      </c>
      <c r="BC124" t="s">
        <v>191</v>
      </c>
    </row>
    <row r="125" spans="1:58" x14ac:dyDescent="0.2">
      <c r="D125">
        <v>10000000</v>
      </c>
      <c r="E125">
        <v>285</v>
      </c>
      <c r="F125" t="s">
        <v>267</v>
      </c>
      <c r="H125">
        <v>285</v>
      </c>
      <c r="O125">
        <v>4000</v>
      </c>
      <c r="R125">
        <v>16.709</v>
      </c>
      <c r="S125">
        <v>0.1</v>
      </c>
      <c r="T125">
        <v>-62.176200000000001</v>
      </c>
      <c r="U125">
        <v>1</v>
      </c>
      <c r="AA125">
        <v>0</v>
      </c>
      <c r="AE125">
        <v>450</v>
      </c>
      <c r="AF125" t="b">
        <v>0</v>
      </c>
      <c r="AJ125" t="s">
        <v>157</v>
      </c>
      <c r="AM125">
        <v>5</v>
      </c>
      <c r="AT125" t="s">
        <v>158</v>
      </c>
      <c r="AU125" t="s">
        <v>120</v>
      </c>
      <c r="AV125" t="s">
        <v>558</v>
      </c>
      <c r="AW125">
        <v>16.6753</v>
      </c>
      <c r="AX125">
        <v>-62.176200000000001</v>
      </c>
      <c r="AY125">
        <v>16.709</v>
      </c>
      <c r="AZ125">
        <v>-62.176200000000001</v>
      </c>
      <c r="BB125" t="s">
        <v>159</v>
      </c>
      <c r="BC125" t="s">
        <v>134</v>
      </c>
      <c r="BD125">
        <v>46000000</v>
      </c>
      <c r="BE125">
        <v>50000000</v>
      </c>
      <c r="BF125">
        <v>40000000</v>
      </c>
    </row>
    <row r="126" spans="1:58" x14ac:dyDescent="0.2">
      <c r="E126">
        <v>9</v>
      </c>
      <c r="F126" t="s">
        <v>267</v>
      </c>
      <c r="H126">
        <v>9</v>
      </c>
      <c r="I126">
        <v>1200</v>
      </c>
      <c r="J126">
        <v>1300</v>
      </c>
      <c r="K126">
        <v>1100</v>
      </c>
      <c r="O126">
        <v>2500</v>
      </c>
      <c r="P126">
        <v>2800</v>
      </c>
      <c r="Q126">
        <v>2200</v>
      </c>
      <c r="R126">
        <v>46.201709999999999</v>
      </c>
      <c r="S126">
        <v>0</v>
      </c>
      <c r="T126">
        <v>-121.48164</v>
      </c>
      <c r="U126">
        <v>0</v>
      </c>
      <c r="AA126">
        <v>45</v>
      </c>
      <c r="AB126" t="b">
        <v>1</v>
      </c>
      <c r="AE126">
        <v>0</v>
      </c>
      <c r="AJ126" t="s">
        <v>160</v>
      </c>
      <c r="AL126" s="7"/>
      <c r="AM126">
        <v>1</v>
      </c>
      <c r="AT126" t="s">
        <v>385</v>
      </c>
      <c r="AU126" t="s">
        <v>137</v>
      </c>
      <c r="AV126" t="s">
        <v>384</v>
      </c>
      <c r="AY126">
        <v>46.201709999999999</v>
      </c>
      <c r="AZ126">
        <v>-121.48164</v>
      </c>
      <c r="BB126" t="s">
        <v>312</v>
      </c>
      <c r="BC126" t="s">
        <v>191</v>
      </c>
    </row>
    <row r="127" spans="1:58" x14ac:dyDescent="0.2">
      <c r="E127">
        <v>7</v>
      </c>
      <c r="F127" t="s">
        <v>320</v>
      </c>
      <c r="H127">
        <v>7</v>
      </c>
      <c r="I127">
        <v>1700</v>
      </c>
      <c r="J127">
        <v>1600</v>
      </c>
      <c r="K127">
        <v>1800</v>
      </c>
      <c r="O127">
        <v>5000</v>
      </c>
      <c r="P127">
        <v>5100</v>
      </c>
      <c r="Q127">
        <v>4700</v>
      </c>
      <c r="R127">
        <v>46.201709999999999</v>
      </c>
      <c r="S127">
        <v>0</v>
      </c>
      <c r="T127">
        <v>-121.48164</v>
      </c>
      <c r="U127">
        <v>1</v>
      </c>
      <c r="AA127">
        <v>230</v>
      </c>
      <c r="AB127" t="b">
        <v>1</v>
      </c>
      <c r="AE127">
        <v>230</v>
      </c>
      <c r="AF127" t="b">
        <v>0</v>
      </c>
      <c r="AJ127" t="s">
        <v>160</v>
      </c>
      <c r="AM127">
        <v>3</v>
      </c>
      <c r="AT127" t="s">
        <v>460</v>
      </c>
      <c r="AU127" t="s">
        <v>137</v>
      </c>
      <c r="AV127" t="s">
        <v>459</v>
      </c>
      <c r="AW127">
        <v>46.186399999999999</v>
      </c>
      <c r="AX127">
        <v>-121.42719</v>
      </c>
      <c r="AY127">
        <v>46.201709999999999</v>
      </c>
      <c r="AZ127">
        <v>-121.48164</v>
      </c>
      <c r="BB127" t="s">
        <v>271</v>
      </c>
      <c r="BC127" t="s">
        <v>134</v>
      </c>
      <c r="BD127">
        <v>3600000</v>
      </c>
      <c r="BE127">
        <v>4600000</v>
      </c>
      <c r="BF127">
        <v>2700000</v>
      </c>
    </row>
    <row r="128" spans="1:58" x14ac:dyDescent="0.2">
      <c r="A128">
        <v>73000</v>
      </c>
      <c r="B128">
        <v>110000</v>
      </c>
      <c r="C128">
        <v>50000</v>
      </c>
      <c r="D128">
        <v>880000</v>
      </c>
      <c r="E128">
        <v>8</v>
      </c>
      <c r="F128" t="s">
        <v>267</v>
      </c>
      <c r="H128">
        <v>8</v>
      </c>
      <c r="I128">
        <v>1300</v>
      </c>
      <c r="J128">
        <v>1400</v>
      </c>
      <c r="K128">
        <v>1000</v>
      </c>
      <c r="O128">
        <v>3500</v>
      </c>
      <c r="P128">
        <v>3500</v>
      </c>
      <c r="Q128">
        <v>2600</v>
      </c>
      <c r="R128">
        <v>46.200420000000001</v>
      </c>
      <c r="S128">
        <v>0</v>
      </c>
      <c r="T128">
        <v>-121.49930999999999</v>
      </c>
      <c r="U128">
        <v>1</v>
      </c>
      <c r="AA128">
        <v>180</v>
      </c>
      <c r="AB128" t="b">
        <v>1</v>
      </c>
      <c r="AE128">
        <v>149</v>
      </c>
      <c r="AF128" t="b">
        <v>1</v>
      </c>
      <c r="AJ128" t="s">
        <v>160</v>
      </c>
      <c r="AM128">
        <v>3</v>
      </c>
      <c r="AT128" t="s">
        <v>482</v>
      </c>
      <c r="AU128" t="s">
        <v>137</v>
      </c>
      <c r="AV128" t="s">
        <v>481</v>
      </c>
      <c r="AW128">
        <v>46.180860000000003</v>
      </c>
      <c r="AX128">
        <v>-121.52994</v>
      </c>
      <c r="AY128">
        <v>46.200420000000001</v>
      </c>
      <c r="AZ128">
        <v>-121.49930999999999</v>
      </c>
      <c r="BB128" t="s">
        <v>271</v>
      </c>
      <c r="BC128" t="s">
        <v>134</v>
      </c>
      <c r="BD128">
        <v>1700000</v>
      </c>
      <c r="BE128">
        <v>2500000</v>
      </c>
      <c r="BF128">
        <v>1200000</v>
      </c>
    </row>
    <row r="129" spans="1:58" x14ac:dyDescent="0.2">
      <c r="A129">
        <v>25000</v>
      </c>
      <c r="B129">
        <v>32000</v>
      </c>
      <c r="C129">
        <v>14000</v>
      </c>
      <c r="D129">
        <v>510000</v>
      </c>
      <c r="E129">
        <v>108</v>
      </c>
      <c r="F129" t="s">
        <v>267</v>
      </c>
      <c r="H129">
        <v>108</v>
      </c>
      <c r="I129">
        <v>1200</v>
      </c>
      <c r="J129">
        <v>1300</v>
      </c>
      <c r="K129">
        <v>1100</v>
      </c>
      <c r="O129">
        <v>2900</v>
      </c>
      <c r="P129">
        <v>3000</v>
      </c>
      <c r="Q129">
        <v>2800</v>
      </c>
      <c r="R129">
        <v>46.201749999999997</v>
      </c>
      <c r="S129">
        <v>0</v>
      </c>
      <c r="T129">
        <v>-121.49862</v>
      </c>
      <c r="U129">
        <v>1</v>
      </c>
      <c r="AA129">
        <v>146</v>
      </c>
      <c r="AB129" t="b">
        <v>1</v>
      </c>
      <c r="AE129">
        <v>117</v>
      </c>
      <c r="AF129" t="b">
        <v>1</v>
      </c>
      <c r="AJ129" t="s">
        <v>160</v>
      </c>
      <c r="AM129">
        <v>4</v>
      </c>
      <c r="AT129" t="s">
        <v>161</v>
      </c>
      <c r="AU129" t="s">
        <v>137</v>
      </c>
      <c r="AV129" t="s">
        <v>566</v>
      </c>
      <c r="AW129">
        <v>46.178690000000003</v>
      </c>
      <c r="AX129">
        <v>-121.51342</v>
      </c>
      <c r="AY129">
        <v>46.201749999999997</v>
      </c>
      <c r="AZ129">
        <v>-121.49862</v>
      </c>
      <c r="BB129" t="s">
        <v>138</v>
      </c>
      <c r="BC129" t="s">
        <v>134</v>
      </c>
      <c r="BD129">
        <v>370000</v>
      </c>
      <c r="BE129">
        <v>550000</v>
      </c>
      <c r="BF129">
        <v>250000</v>
      </c>
    </row>
    <row r="130" spans="1:58" x14ac:dyDescent="0.2">
      <c r="E130">
        <v>77</v>
      </c>
      <c r="F130" t="s">
        <v>267</v>
      </c>
      <c r="H130">
        <v>77</v>
      </c>
      <c r="R130">
        <v>48.768300000000004</v>
      </c>
      <c r="S130">
        <v>0.1</v>
      </c>
      <c r="T130">
        <v>-121.81310000000001</v>
      </c>
      <c r="U130">
        <v>0</v>
      </c>
      <c r="AA130">
        <v>7</v>
      </c>
      <c r="AB130" t="b">
        <v>1</v>
      </c>
      <c r="AE130">
        <v>0</v>
      </c>
      <c r="AJ130" t="s">
        <v>103</v>
      </c>
      <c r="AM130">
        <v>3</v>
      </c>
      <c r="AT130" t="s">
        <v>314</v>
      </c>
      <c r="AU130" t="s">
        <v>137</v>
      </c>
      <c r="AV130" t="s">
        <v>313</v>
      </c>
      <c r="BB130" t="s">
        <v>315</v>
      </c>
      <c r="BC130" t="s">
        <v>134</v>
      </c>
    </row>
    <row r="131" spans="1:58" x14ac:dyDescent="0.2">
      <c r="A131">
        <v>20000</v>
      </c>
      <c r="B131">
        <v>23000</v>
      </c>
      <c r="C131">
        <v>6200</v>
      </c>
      <c r="D131">
        <v>200000</v>
      </c>
      <c r="E131">
        <v>53</v>
      </c>
      <c r="F131" t="s">
        <v>267</v>
      </c>
      <c r="H131">
        <v>53</v>
      </c>
      <c r="I131">
        <v>437</v>
      </c>
      <c r="O131">
        <v>2400</v>
      </c>
      <c r="R131">
        <v>48.746679999999998</v>
      </c>
      <c r="S131">
        <v>0</v>
      </c>
      <c r="T131">
        <v>-121.86256</v>
      </c>
      <c r="U131">
        <v>0</v>
      </c>
      <c r="AA131">
        <v>62</v>
      </c>
      <c r="AB131" t="b">
        <v>1</v>
      </c>
      <c r="AE131">
        <v>0</v>
      </c>
      <c r="AG131">
        <v>0</v>
      </c>
      <c r="AI131" t="b">
        <v>0</v>
      </c>
      <c r="AJ131" t="s">
        <v>103</v>
      </c>
      <c r="AM131">
        <v>4</v>
      </c>
      <c r="AT131" t="s">
        <v>162</v>
      </c>
      <c r="AU131" t="s">
        <v>137</v>
      </c>
      <c r="AV131" t="s">
        <v>581</v>
      </c>
      <c r="AW131">
        <v>48.736359999999998</v>
      </c>
      <c r="AX131">
        <v>-121.88711000000001</v>
      </c>
      <c r="AY131">
        <v>48.746679999999998</v>
      </c>
      <c r="AZ131">
        <v>-121.86256</v>
      </c>
      <c r="BB131" t="s">
        <v>163</v>
      </c>
      <c r="BC131" t="s">
        <v>134</v>
      </c>
      <c r="BD131">
        <v>60000</v>
      </c>
      <c r="BE131">
        <v>92000</v>
      </c>
      <c r="BF131">
        <v>39000</v>
      </c>
    </row>
    <row r="132" spans="1:58" x14ac:dyDescent="0.2">
      <c r="E132">
        <v>76</v>
      </c>
      <c r="F132" t="s">
        <v>267</v>
      </c>
      <c r="H132">
        <v>76</v>
      </c>
      <c r="R132">
        <v>48.767499999999998</v>
      </c>
      <c r="S132">
        <v>0.1</v>
      </c>
      <c r="T132">
        <v>-121.813</v>
      </c>
      <c r="U132">
        <v>0</v>
      </c>
      <c r="AA132">
        <v>14</v>
      </c>
      <c r="AB132" t="b">
        <v>1</v>
      </c>
      <c r="AE132">
        <v>0</v>
      </c>
      <c r="AG132">
        <v>60</v>
      </c>
      <c r="AH132" t="b">
        <v>1</v>
      </c>
      <c r="AI132" t="b">
        <v>1</v>
      </c>
      <c r="AJ132" t="s">
        <v>103</v>
      </c>
      <c r="AM132">
        <v>3</v>
      </c>
      <c r="AT132" t="s">
        <v>532</v>
      </c>
      <c r="AU132" t="s">
        <v>137</v>
      </c>
      <c r="AV132" t="s">
        <v>531</v>
      </c>
      <c r="BB132" t="s">
        <v>533</v>
      </c>
      <c r="BC132" t="s">
        <v>375</v>
      </c>
    </row>
    <row r="133" spans="1:58" x14ac:dyDescent="0.2">
      <c r="A133">
        <v>59000</v>
      </c>
      <c r="B133">
        <v>87000</v>
      </c>
      <c r="C133">
        <v>44000</v>
      </c>
      <c r="D133">
        <v>870000</v>
      </c>
      <c r="E133">
        <v>65</v>
      </c>
      <c r="F133" t="s">
        <v>267</v>
      </c>
      <c r="H133">
        <v>65</v>
      </c>
      <c r="I133">
        <v>1480</v>
      </c>
      <c r="J133">
        <v>1500</v>
      </c>
      <c r="K133">
        <v>1450</v>
      </c>
      <c r="O133">
        <v>3700</v>
      </c>
      <c r="R133">
        <v>48.768799999999999</v>
      </c>
      <c r="S133">
        <v>0</v>
      </c>
      <c r="T133">
        <v>-121.81419</v>
      </c>
      <c r="U133">
        <v>0</v>
      </c>
      <c r="AA133">
        <v>14</v>
      </c>
      <c r="AB133" t="b">
        <v>1</v>
      </c>
      <c r="AE133">
        <v>0</v>
      </c>
      <c r="AJ133" t="s">
        <v>103</v>
      </c>
      <c r="AM133">
        <v>4</v>
      </c>
      <c r="AT133" t="s">
        <v>703</v>
      </c>
      <c r="AU133" t="s">
        <v>137</v>
      </c>
      <c r="AV133" t="s">
        <v>702</v>
      </c>
      <c r="AW133">
        <v>48.763399999999997</v>
      </c>
      <c r="AX133">
        <v>-121.76615</v>
      </c>
      <c r="AY133">
        <v>48.768799999999999</v>
      </c>
      <c r="AZ133">
        <v>-121.81419</v>
      </c>
      <c r="BB133" t="s">
        <v>315</v>
      </c>
      <c r="BC133" t="s">
        <v>134</v>
      </c>
      <c r="BD133">
        <v>810000</v>
      </c>
      <c r="BE133">
        <v>1600000</v>
      </c>
      <c r="BF133">
        <v>410000</v>
      </c>
    </row>
    <row r="134" spans="1:58" x14ac:dyDescent="0.2">
      <c r="E134">
        <v>105</v>
      </c>
      <c r="F134" t="s">
        <v>1060</v>
      </c>
      <c r="H134">
        <v>105</v>
      </c>
      <c r="I134">
        <v>220</v>
      </c>
      <c r="J134">
        <v>250</v>
      </c>
      <c r="K134">
        <v>190</v>
      </c>
      <c r="O134">
        <v>480</v>
      </c>
      <c r="P134">
        <v>530</v>
      </c>
      <c r="Q134">
        <v>430</v>
      </c>
      <c r="R134">
        <v>48.773119999999999</v>
      </c>
      <c r="S134">
        <v>0.05</v>
      </c>
      <c r="T134">
        <v>-121.81685</v>
      </c>
      <c r="U134">
        <v>0</v>
      </c>
      <c r="AA134">
        <v>38</v>
      </c>
      <c r="AB134" t="b">
        <v>0</v>
      </c>
      <c r="AE134">
        <v>0</v>
      </c>
      <c r="AJ134" t="s">
        <v>103</v>
      </c>
      <c r="AM134">
        <v>3</v>
      </c>
      <c r="AT134" t="s">
        <v>1062</v>
      </c>
      <c r="AU134" t="s">
        <v>137</v>
      </c>
      <c r="AV134" t="s">
        <v>1061</v>
      </c>
      <c r="AW134">
        <v>46.179850000000002</v>
      </c>
      <c r="AX134">
        <v>-122.11105000000001</v>
      </c>
      <c r="AY134">
        <v>48.773119999999999</v>
      </c>
      <c r="AZ134">
        <v>-121.81685</v>
      </c>
      <c r="BB134" t="s">
        <v>341</v>
      </c>
      <c r="BC134" t="s">
        <v>134</v>
      </c>
      <c r="BD134">
        <v>300000</v>
      </c>
    </row>
    <row r="135" spans="1:58" x14ac:dyDescent="0.2">
      <c r="E135">
        <v>277</v>
      </c>
      <c r="F135" t="s">
        <v>267</v>
      </c>
      <c r="H135">
        <v>277</v>
      </c>
      <c r="I135">
        <v>900</v>
      </c>
      <c r="O135">
        <v>2900</v>
      </c>
      <c r="R135">
        <v>-43.561100000000003</v>
      </c>
      <c r="S135">
        <v>0</v>
      </c>
      <c r="T135">
        <v>170.18010000000001</v>
      </c>
      <c r="U135">
        <v>0</v>
      </c>
      <c r="AA135">
        <v>73</v>
      </c>
      <c r="AB135" t="b">
        <v>0</v>
      </c>
      <c r="AE135">
        <v>0</v>
      </c>
      <c r="AJ135" t="s">
        <v>293</v>
      </c>
      <c r="AM135">
        <v>5</v>
      </c>
      <c r="AT135" t="s">
        <v>294</v>
      </c>
      <c r="AU135" t="s">
        <v>120</v>
      </c>
      <c r="AV135" t="s">
        <v>292</v>
      </c>
      <c r="AW135">
        <v>-43.585700000000003</v>
      </c>
      <c r="AX135">
        <v>170.1764</v>
      </c>
      <c r="AY135">
        <v>-43.561100000000003</v>
      </c>
      <c r="AZ135">
        <v>170.18010000000001</v>
      </c>
      <c r="BB135" t="s">
        <v>284</v>
      </c>
      <c r="BC135" t="s">
        <v>134</v>
      </c>
      <c r="BD135">
        <v>2000000</v>
      </c>
    </row>
    <row r="136" spans="1:58" x14ac:dyDescent="0.2">
      <c r="A136">
        <v>400000</v>
      </c>
      <c r="B136">
        <v>480000</v>
      </c>
      <c r="C136">
        <v>340000</v>
      </c>
      <c r="D136">
        <v>500000</v>
      </c>
      <c r="E136">
        <v>182</v>
      </c>
      <c r="F136" t="s">
        <v>267</v>
      </c>
      <c r="H136">
        <v>182</v>
      </c>
      <c r="I136">
        <v>600</v>
      </c>
      <c r="J136">
        <v>800</v>
      </c>
      <c r="K136">
        <v>500</v>
      </c>
      <c r="O136">
        <v>2700</v>
      </c>
      <c r="P136">
        <v>3200</v>
      </c>
      <c r="Q136">
        <v>2100</v>
      </c>
      <c r="R136">
        <v>45.350929999999998</v>
      </c>
      <c r="S136">
        <v>0.05</v>
      </c>
      <c r="T136">
        <v>-121.65988</v>
      </c>
      <c r="U136">
        <v>0</v>
      </c>
      <c r="AA136">
        <v>33</v>
      </c>
      <c r="AB136" t="b">
        <v>1</v>
      </c>
      <c r="AE136">
        <v>0</v>
      </c>
      <c r="AJ136" t="s">
        <v>394</v>
      </c>
      <c r="AL136" s="7"/>
      <c r="AM136">
        <v>3</v>
      </c>
      <c r="AT136" t="s">
        <v>395</v>
      </c>
      <c r="AU136" t="s">
        <v>396</v>
      </c>
      <c r="AV136" t="s">
        <v>393</v>
      </c>
      <c r="AW136">
        <v>45.343760000000003</v>
      </c>
      <c r="AX136">
        <v>-121.64829</v>
      </c>
      <c r="AY136">
        <v>45.361190000000001</v>
      </c>
      <c r="AZ136">
        <v>-121.67789999999999</v>
      </c>
      <c r="BB136" t="s">
        <v>374</v>
      </c>
      <c r="BC136" t="s">
        <v>375</v>
      </c>
      <c r="BD136">
        <v>800000</v>
      </c>
      <c r="BE136">
        <v>1200000</v>
      </c>
      <c r="BF136">
        <v>400000</v>
      </c>
    </row>
    <row r="137" spans="1:58" x14ac:dyDescent="0.2">
      <c r="A137">
        <v>23400</v>
      </c>
      <c r="E137">
        <v>147</v>
      </c>
      <c r="F137" t="s">
        <v>267</v>
      </c>
      <c r="H137">
        <v>147</v>
      </c>
      <c r="I137">
        <v>1240</v>
      </c>
      <c r="O137">
        <v>4320</v>
      </c>
      <c r="R137">
        <v>50.344799999999999</v>
      </c>
      <c r="S137">
        <v>0</v>
      </c>
      <c r="T137">
        <v>-122.4511</v>
      </c>
      <c r="U137">
        <v>1</v>
      </c>
      <c r="AA137">
        <v>391</v>
      </c>
      <c r="AB137" t="b">
        <v>1</v>
      </c>
      <c r="AE137">
        <v>301</v>
      </c>
      <c r="AF137" t="b">
        <v>1</v>
      </c>
      <c r="AJ137" t="s">
        <v>296</v>
      </c>
      <c r="AM137">
        <v>5</v>
      </c>
      <c r="AT137" t="s">
        <v>297</v>
      </c>
      <c r="AU137" t="s">
        <v>143</v>
      </c>
      <c r="AV137" t="s">
        <v>295</v>
      </c>
      <c r="AW137">
        <v>50.367199999999997</v>
      </c>
      <c r="AX137">
        <v>-122.41540000000001</v>
      </c>
      <c r="AY137">
        <v>50.344799999999999</v>
      </c>
      <c r="AZ137">
        <v>-122.4511</v>
      </c>
      <c r="BB137" t="s">
        <v>298</v>
      </c>
      <c r="BC137" t="s">
        <v>134</v>
      </c>
      <c r="BD137">
        <v>1900000</v>
      </c>
    </row>
    <row r="138" spans="1:58" x14ac:dyDescent="0.2">
      <c r="A138">
        <v>34200</v>
      </c>
      <c r="E138">
        <v>148</v>
      </c>
      <c r="F138" t="s">
        <v>267</v>
      </c>
      <c r="H138">
        <v>148</v>
      </c>
      <c r="I138">
        <v>1370</v>
      </c>
      <c r="O138">
        <v>4000</v>
      </c>
      <c r="R138">
        <v>50.3431</v>
      </c>
      <c r="S138">
        <v>0</v>
      </c>
      <c r="T138">
        <v>-122.44880000000001</v>
      </c>
      <c r="U138">
        <v>1</v>
      </c>
      <c r="AA138">
        <v>500</v>
      </c>
      <c r="AB138" t="b">
        <v>0</v>
      </c>
      <c r="AE138">
        <v>500</v>
      </c>
      <c r="AF138" t="b">
        <v>0</v>
      </c>
      <c r="AJ138" t="s">
        <v>818</v>
      </c>
      <c r="AM138">
        <v>5</v>
      </c>
      <c r="AT138" t="s">
        <v>819</v>
      </c>
      <c r="AU138" t="s">
        <v>143</v>
      </c>
      <c r="AV138" t="s">
        <v>817</v>
      </c>
      <c r="AW138">
        <v>50.367199999999997</v>
      </c>
      <c r="AX138">
        <v>-122.41540000000001</v>
      </c>
      <c r="AY138">
        <v>50.3431</v>
      </c>
      <c r="AZ138">
        <v>-122.44880000000001</v>
      </c>
      <c r="BB138" t="s">
        <v>298</v>
      </c>
      <c r="BC138" t="s">
        <v>134</v>
      </c>
      <c r="BD138">
        <v>3100000</v>
      </c>
    </row>
    <row r="139" spans="1:58" x14ac:dyDescent="0.2">
      <c r="A139">
        <v>330000</v>
      </c>
      <c r="B139">
        <v>520000</v>
      </c>
      <c r="C139">
        <v>190000</v>
      </c>
      <c r="D139">
        <v>6500000</v>
      </c>
      <c r="E139">
        <v>18</v>
      </c>
      <c r="F139" t="s">
        <v>267</v>
      </c>
      <c r="H139">
        <v>18</v>
      </c>
      <c r="I139">
        <v>1779</v>
      </c>
      <c r="O139">
        <v>7374</v>
      </c>
      <c r="R139">
        <v>58.561050000000002</v>
      </c>
      <c r="S139">
        <v>0</v>
      </c>
      <c r="T139">
        <v>-137.07371000000001</v>
      </c>
      <c r="U139">
        <v>1</v>
      </c>
      <c r="V139">
        <v>68000000000</v>
      </c>
      <c r="AA139">
        <v>370</v>
      </c>
      <c r="AB139" t="b">
        <v>1</v>
      </c>
      <c r="AE139">
        <v>1000</v>
      </c>
      <c r="AF139" t="b">
        <v>0</v>
      </c>
      <c r="AJ139" t="s">
        <v>815</v>
      </c>
      <c r="AM139">
        <v>4</v>
      </c>
      <c r="AT139" t="s">
        <v>816</v>
      </c>
      <c r="AU139" t="s">
        <v>137</v>
      </c>
      <c r="AV139" t="s">
        <v>814</v>
      </c>
      <c r="AW139">
        <v>58.557130000000001</v>
      </c>
      <c r="AX139">
        <v>-137.05600999999999</v>
      </c>
      <c r="AY139">
        <v>58.561050000000002</v>
      </c>
      <c r="AZ139">
        <v>-137.07371000000001</v>
      </c>
      <c r="BB139" t="s">
        <v>271</v>
      </c>
      <c r="BC139" t="s">
        <v>134</v>
      </c>
      <c r="BD139">
        <v>14000000</v>
      </c>
      <c r="BE139">
        <v>22000000</v>
      </c>
      <c r="BF139">
        <v>9000000</v>
      </c>
    </row>
    <row r="140" spans="1:58" x14ac:dyDescent="0.2">
      <c r="A140">
        <v>310000</v>
      </c>
      <c r="B140">
        <v>520000</v>
      </c>
      <c r="C140">
        <v>200000</v>
      </c>
      <c r="D140">
        <v>7900000</v>
      </c>
      <c r="E140">
        <v>19</v>
      </c>
      <c r="F140" t="s">
        <v>267</v>
      </c>
      <c r="H140">
        <v>19</v>
      </c>
      <c r="I140">
        <v>2400</v>
      </c>
      <c r="J140">
        <v>2500</v>
      </c>
      <c r="K140">
        <v>2300</v>
      </c>
      <c r="O140">
        <v>9300</v>
      </c>
      <c r="P140">
        <v>9500</v>
      </c>
      <c r="Q140">
        <v>9100</v>
      </c>
      <c r="R140">
        <v>58.793669999999999</v>
      </c>
      <c r="S140">
        <v>0</v>
      </c>
      <c r="T140">
        <v>-137.44246999999999</v>
      </c>
      <c r="U140">
        <v>1</v>
      </c>
      <c r="V140">
        <v>20000000000</v>
      </c>
      <c r="AA140">
        <v>890</v>
      </c>
      <c r="AB140" t="b">
        <v>1</v>
      </c>
      <c r="AE140">
        <v>1000</v>
      </c>
      <c r="AF140" t="b">
        <v>0</v>
      </c>
      <c r="AJ140" t="s">
        <v>1067</v>
      </c>
      <c r="AM140">
        <v>4</v>
      </c>
      <c r="AT140" t="s">
        <v>1068</v>
      </c>
      <c r="AU140" t="s">
        <v>137</v>
      </c>
      <c r="AV140" t="s">
        <v>1066</v>
      </c>
      <c r="AW140">
        <v>58.81626</v>
      </c>
      <c r="AX140">
        <v>-137.30032</v>
      </c>
      <c r="AY140">
        <v>58.793669999999999</v>
      </c>
      <c r="AZ140">
        <v>-137.44246999999999</v>
      </c>
      <c r="BB140" t="s">
        <v>271</v>
      </c>
      <c r="BC140" t="s">
        <v>134</v>
      </c>
      <c r="BD140">
        <v>13000000</v>
      </c>
      <c r="BE140">
        <v>60000000</v>
      </c>
      <c r="BF140">
        <v>2800000</v>
      </c>
    </row>
    <row r="141" spans="1:58" x14ac:dyDescent="0.2">
      <c r="E141">
        <v>41</v>
      </c>
      <c r="F141" t="s">
        <v>267</v>
      </c>
      <c r="H141">
        <v>41</v>
      </c>
      <c r="R141">
        <v>58.795029999999997</v>
      </c>
      <c r="S141">
        <v>2</v>
      </c>
      <c r="T141">
        <v>-137.43299999999999</v>
      </c>
      <c r="U141">
        <v>0</v>
      </c>
      <c r="AA141">
        <v>187</v>
      </c>
      <c r="AB141" t="b">
        <v>1</v>
      </c>
      <c r="AE141">
        <v>0</v>
      </c>
      <c r="AJ141" t="s">
        <v>963</v>
      </c>
      <c r="AM141">
        <v>1</v>
      </c>
      <c r="AT141" t="s">
        <v>964</v>
      </c>
      <c r="AU141" t="s">
        <v>137</v>
      </c>
      <c r="AV141" t="s">
        <v>962</v>
      </c>
      <c r="BB141" t="s">
        <v>280</v>
      </c>
      <c r="BC141" t="s">
        <v>134</v>
      </c>
    </row>
    <row r="142" spans="1:58" x14ac:dyDescent="0.2">
      <c r="A142">
        <v>900000</v>
      </c>
      <c r="D142">
        <v>9700000</v>
      </c>
      <c r="E142">
        <v>11</v>
      </c>
      <c r="F142" t="s">
        <v>466</v>
      </c>
      <c r="H142">
        <v>11</v>
      </c>
      <c r="I142">
        <v>2138</v>
      </c>
      <c r="O142">
        <v>12700</v>
      </c>
      <c r="R142">
        <v>50.631079999999997</v>
      </c>
      <c r="S142">
        <v>0</v>
      </c>
      <c r="T142">
        <v>-123.50387000000001</v>
      </c>
      <c r="U142">
        <v>1</v>
      </c>
      <c r="V142">
        <v>100000000000</v>
      </c>
      <c r="W142">
        <v>120000000000</v>
      </c>
      <c r="X142">
        <v>80000000000</v>
      </c>
      <c r="AA142">
        <v>1258</v>
      </c>
      <c r="AB142" t="b">
        <v>1</v>
      </c>
      <c r="AE142">
        <v>1500</v>
      </c>
      <c r="AF142" t="b">
        <v>0</v>
      </c>
      <c r="AJ142" t="s">
        <v>650</v>
      </c>
      <c r="AM142">
        <v>5</v>
      </c>
      <c r="AT142" t="s">
        <v>651</v>
      </c>
      <c r="AU142" t="s">
        <v>137</v>
      </c>
      <c r="AV142" t="s">
        <v>649</v>
      </c>
      <c r="AW142">
        <v>50.59713</v>
      </c>
      <c r="AX142">
        <v>-123.37378</v>
      </c>
      <c r="AY142">
        <v>50.631079999999997</v>
      </c>
      <c r="AZ142">
        <v>-123.50387000000001</v>
      </c>
      <c r="BB142" t="s">
        <v>652</v>
      </c>
      <c r="BC142" t="s">
        <v>134</v>
      </c>
      <c r="BD142">
        <v>48500000</v>
      </c>
      <c r="BE142">
        <v>58200000</v>
      </c>
      <c r="BF142">
        <v>38800000</v>
      </c>
    </row>
    <row r="143" spans="1:58" x14ac:dyDescent="0.2">
      <c r="E143">
        <v>42</v>
      </c>
      <c r="F143" t="s">
        <v>466</v>
      </c>
      <c r="H143">
        <v>42</v>
      </c>
      <c r="R143">
        <v>50.623800000000003</v>
      </c>
      <c r="S143">
        <v>1</v>
      </c>
      <c r="T143">
        <v>-123.49872999999999</v>
      </c>
      <c r="U143">
        <v>1</v>
      </c>
      <c r="V143">
        <v>700000000</v>
      </c>
      <c r="AA143">
        <v>220</v>
      </c>
      <c r="AB143" t="b">
        <v>1</v>
      </c>
      <c r="AE143">
        <v>1000</v>
      </c>
      <c r="AF143" t="b">
        <v>0</v>
      </c>
      <c r="AJ143" t="s">
        <v>973</v>
      </c>
      <c r="AM143">
        <v>5</v>
      </c>
      <c r="AT143" t="s">
        <v>974</v>
      </c>
      <c r="AU143" t="s">
        <v>137</v>
      </c>
      <c r="AV143" t="s">
        <v>972</v>
      </c>
      <c r="BB143" t="s">
        <v>280</v>
      </c>
      <c r="BC143" t="s">
        <v>134</v>
      </c>
      <c r="BD143">
        <v>300000</v>
      </c>
    </row>
    <row r="144" spans="1:58" x14ac:dyDescent="0.2">
      <c r="E144">
        <v>36</v>
      </c>
      <c r="F144" t="s">
        <v>267</v>
      </c>
      <c r="H144">
        <v>36</v>
      </c>
      <c r="R144">
        <v>46.83887</v>
      </c>
      <c r="S144">
        <v>1</v>
      </c>
      <c r="T144">
        <v>-121.76875</v>
      </c>
      <c r="U144">
        <v>0</v>
      </c>
      <c r="AA144">
        <v>79</v>
      </c>
      <c r="AB144" t="b">
        <v>1</v>
      </c>
      <c r="AE144">
        <v>0</v>
      </c>
      <c r="AJ144" t="s">
        <v>164</v>
      </c>
      <c r="AM144">
        <v>3</v>
      </c>
      <c r="AT144" t="s">
        <v>349</v>
      </c>
      <c r="AU144" t="s">
        <v>137</v>
      </c>
      <c r="AV144" t="s">
        <v>348</v>
      </c>
      <c r="BB144" t="s">
        <v>312</v>
      </c>
      <c r="BC144" t="s">
        <v>191</v>
      </c>
    </row>
    <row r="145" spans="1:58" x14ac:dyDescent="0.2">
      <c r="E145">
        <v>175</v>
      </c>
      <c r="F145" t="s">
        <v>267</v>
      </c>
      <c r="H145">
        <v>175</v>
      </c>
      <c r="R145">
        <v>46.819099999999999</v>
      </c>
      <c r="S145">
        <v>3</v>
      </c>
      <c r="T145">
        <v>-121.81</v>
      </c>
      <c r="U145">
        <v>0</v>
      </c>
      <c r="Y145">
        <v>8</v>
      </c>
      <c r="Z145">
        <v>1</v>
      </c>
      <c r="AA145">
        <v>8</v>
      </c>
      <c r="AB145" t="b">
        <v>1</v>
      </c>
      <c r="AE145">
        <v>0</v>
      </c>
      <c r="AG145">
        <v>0</v>
      </c>
      <c r="AI145" t="b">
        <v>0</v>
      </c>
      <c r="AJ145" t="s">
        <v>164</v>
      </c>
      <c r="AM145">
        <v>1</v>
      </c>
      <c r="AT145" t="s">
        <v>165</v>
      </c>
      <c r="AU145" t="s">
        <v>143</v>
      </c>
      <c r="AV145" t="s">
        <v>589</v>
      </c>
      <c r="BB145" t="s">
        <v>121</v>
      </c>
      <c r="BC145" t="s">
        <v>122</v>
      </c>
    </row>
    <row r="146" spans="1:58" x14ac:dyDescent="0.2">
      <c r="E146">
        <v>32</v>
      </c>
      <c r="F146" t="s">
        <v>267</v>
      </c>
      <c r="H146">
        <v>32</v>
      </c>
      <c r="R146">
        <v>46.819339999999997</v>
      </c>
      <c r="S146">
        <v>13</v>
      </c>
      <c r="T146">
        <v>-121.81323</v>
      </c>
      <c r="U146">
        <v>0</v>
      </c>
      <c r="AA146">
        <v>25</v>
      </c>
      <c r="AB146" t="b">
        <v>1</v>
      </c>
      <c r="AE146">
        <v>0</v>
      </c>
      <c r="AG146">
        <v>0</v>
      </c>
      <c r="AI146" t="b">
        <v>0</v>
      </c>
      <c r="AJ146" t="s">
        <v>164</v>
      </c>
      <c r="AM146">
        <v>3</v>
      </c>
      <c r="AT146" t="s">
        <v>166</v>
      </c>
      <c r="AU146" t="s">
        <v>137</v>
      </c>
      <c r="AV146" t="s">
        <v>612</v>
      </c>
      <c r="BB146" t="s">
        <v>167</v>
      </c>
      <c r="BC146" t="s">
        <v>122</v>
      </c>
    </row>
    <row r="147" spans="1:58" x14ac:dyDescent="0.2">
      <c r="E147">
        <v>82</v>
      </c>
      <c r="F147" t="s">
        <v>267</v>
      </c>
      <c r="H147">
        <v>82</v>
      </c>
      <c r="R147">
        <v>46.837200000000003</v>
      </c>
      <c r="S147">
        <v>0.2</v>
      </c>
      <c r="T147">
        <v>-121.75069999999999</v>
      </c>
      <c r="U147">
        <v>0</v>
      </c>
      <c r="AA147">
        <v>15</v>
      </c>
      <c r="AB147" t="b">
        <v>1</v>
      </c>
      <c r="AE147">
        <v>0</v>
      </c>
      <c r="AJ147" t="s">
        <v>164</v>
      </c>
      <c r="AM147">
        <v>3</v>
      </c>
      <c r="AT147" t="s">
        <v>842</v>
      </c>
      <c r="AU147" t="s">
        <v>137</v>
      </c>
      <c r="AV147" t="s">
        <v>841</v>
      </c>
      <c r="BB147" t="s">
        <v>341</v>
      </c>
      <c r="BC147" t="s">
        <v>134</v>
      </c>
    </row>
    <row r="148" spans="1:58" x14ac:dyDescent="0.2">
      <c r="E148">
        <v>62</v>
      </c>
      <c r="F148" t="s">
        <v>267</v>
      </c>
      <c r="H148">
        <v>62</v>
      </c>
      <c r="I148">
        <v>350</v>
      </c>
      <c r="J148">
        <v>450</v>
      </c>
      <c r="K148">
        <v>250</v>
      </c>
      <c r="O148">
        <v>700</v>
      </c>
      <c r="P148">
        <v>1100</v>
      </c>
      <c r="Q148">
        <v>300</v>
      </c>
      <c r="R148">
        <v>46.848300000000002</v>
      </c>
      <c r="S148">
        <v>0.2</v>
      </c>
      <c r="T148">
        <v>-121.7456</v>
      </c>
      <c r="U148">
        <v>0</v>
      </c>
      <c r="V148">
        <v>5400000</v>
      </c>
      <c r="W148">
        <v>8700000</v>
      </c>
      <c r="X148">
        <v>3000000</v>
      </c>
      <c r="AA148">
        <v>4</v>
      </c>
      <c r="AB148" t="b">
        <v>1</v>
      </c>
      <c r="AE148">
        <v>0</v>
      </c>
      <c r="AJ148" t="s">
        <v>164</v>
      </c>
      <c r="AM148">
        <v>3</v>
      </c>
      <c r="AT148" t="s">
        <v>968</v>
      </c>
      <c r="AU148" t="s">
        <v>137</v>
      </c>
      <c r="AV148" t="s">
        <v>967</v>
      </c>
      <c r="AW148">
        <v>46.8459</v>
      </c>
      <c r="AX148">
        <v>-121.73739999999999</v>
      </c>
      <c r="AY148">
        <v>46.848300000000002</v>
      </c>
      <c r="AZ148">
        <v>-121.7456</v>
      </c>
      <c r="BB148" t="s">
        <v>374</v>
      </c>
      <c r="BC148" t="s">
        <v>375</v>
      </c>
      <c r="BD148">
        <v>18000</v>
      </c>
      <c r="BE148">
        <v>29000</v>
      </c>
      <c r="BF148">
        <v>10000</v>
      </c>
    </row>
    <row r="149" spans="1:58" x14ac:dyDescent="0.2">
      <c r="A149">
        <v>6500</v>
      </c>
      <c r="B149">
        <v>8000</v>
      </c>
      <c r="C149">
        <v>5000</v>
      </c>
      <c r="D149">
        <v>37000</v>
      </c>
      <c r="E149">
        <v>60</v>
      </c>
      <c r="F149" t="s">
        <v>287</v>
      </c>
      <c r="H149">
        <v>60</v>
      </c>
      <c r="I149">
        <v>200</v>
      </c>
      <c r="J149">
        <v>210</v>
      </c>
      <c r="K149">
        <v>190</v>
      </c>
      <c r="O149">
        <v>230</v>
      </c>
      <c r="P149">
        <v>270</v>
      </c>
      <c r="Q149">
        <v>210</v>
      </c>
      <c r="R149">
        <v>41.374989999999997</v>
      </c>
      <c r="S149">
        <v>0</v>
      </c>
      <c r="T149">
        <v>-122.15457000000001</v>
      </c>
      <c r="U149">
        <v>0</v>
      </c>
      <c r="AA149">
        <v>65</v>
      </c>
      <c r="AB149" t="b">
        <v>1</v>
      </c>
      <c r="AE149">
        <v>0</v>
      </c>
      <c r="AJ149" t="s">
        <v>407</v>
      </c>
      <c r="AM149">
        <v>4</v>
      </c>
      <c r="AT149" t="s">
        <v>408</v>
      </c>
      <c r="AU149" t="s">
        <v>137</v>
      </c>
      <c r="AV149" t="s">
        <v>406</v>
      </c>
      <c r="AW149">
        <v>41.377049999999997</v>
      </c>
      <c r="AX149">
        <v>-122.15268</v>
      </c>
      <c r="AY149">
        <v>41.374989999999997</v>
      </c>
      <c r="AZ149">
        <v>-122.15457000000001</v>
      </c>
      <c r="BB149" t="s">
        <v>280</v>
      </c>
      <c r="BC149" t="s">
        <v>134</v>
      </c>
      <c r="BD149">
        <v>27000</v>
      </c>
    </row>
    <row r="150" spans="1:58" x14ac:dyDescent="0.2">
      <c r="E150">
        <v>164</v>
      </c>
      <c r="F150" t="s">
        <v>267</v>
      </c>
      <c r="H150">
        <v>164</v>
      </c>
      <c r="R150">
        <v>61.299199999999999</v>
      </c>
      <c r="S150">
        <v>3</v>
      </c>
      <c r="T150">
        <v>-152.2542</v>
      </c>
      <c r="U150">
        <v>0</v>
      </c>
      <c r="AA150">
        <v>281</v>
      </c>
      <c r="AB150" t="b">
        <v>1</v>
      </c>
      <c r="AE150">
        <v>0</v>
      </c>
      <c r="AG150">
        <v>186</v>
      </c>
      <c r="AH150" t="b">
        <v>1</v>
      </c>
      <c r="AI150" t="b">
        <v>1</v>
      </c>
      <c r="AJ150" t="s">
        <v>168</v>
      </c>
      <c r="AM150">
        <v>1</v>
      </c>
      <c r="AT150" t="s">
        <v>356</v>
      </c>
      <c r="AU150" t="s">
        <v>143</v>
      </c>
      <c r="AV150" t="s">
        <v>355</v>
      </c>
      <c r="BB150" t="s">
        <v>280</v>
      </c>
      <c r="BC150" t="s">
        <v>134</v>
      </c>
    </row>
    <row r="151" spans="1:58" x14ac:dyDescent="0.2">
      <c r="E151">
        <v>165</v>
      </c>
      <c r="F151" t="s">
        <v>267</v>
      </c>
      <c r="H151">
        <v>165</v>
      </c>
      <c r="R151">
        <v>61.299199999999999</v>
      </c>
      <c r="S151">
        <v>3</v>
      </c>
      <c r="T151">
        <v>-152.2542</v>
      </c>
      <c r="U151">
        <v>1</v>
      </c>
      <c r="AA151">
        <v>455</v>
      </c>
      <c r="AB151" t="b">
        <v>1</v>
      </c>
      <c r="AE151">
        <v>500</v>
      </c>
      <c r="AF151" t="b">
        <v>0</v>
      </c>
      <c r="AG151">
        <v>98</v>
      </c>
      <c r="AH151" t="b">
        <v>1</v>
      </c>
      <c r="AI151" t="b">
        <v>1</v>
      </c>
      <c r="AJ151" t="s">
        <v>168</v>
      </c>
      <c r="AM151">
        <v>1</v>
      </c>
      <c r="AT151" t="s">
        <v>424</v>
      </c>
      <c r="AU151" t="s">
        <v>143</v>
      </c>
      <c r="AV151" t="s">
        <v>423</v>
      </c>
      <c r="BB151" t="s">
        <v>280</v>
      </c>
      <c r="BC151" t="s">
        <v>134</v>
      </c>
    </row>
    <row r="152" spans="1:58" x14ac:dyDescent="0.2">
      <c r="E152">
        <v>163</v>
      </c>
      <c r="F152" t="s">
        <v>267</v>
      </c>
      <c r="H152">
        <v>163</v>
      </c>
      <c r="R152">
        <v>61.299199999999999</v>
      </c>
      <c r="S152">
        <v>3</v>
      </c>
      <c r="T152">
        <v>-152.2542</v>
      </c>
      <c r="U152">
        <v>0</v>
      </c>
      <c r="AA152">
        <v>85</v>
      </c>
      <c r="AB152" t="b">
        <v>1</v>
      </c>
      <c r="AE152">
        <v>0</v>
      </c>
      <c r="AG152">
        <v>125</v>
      </c>
      <c r="AH152" t="b">
        <v>1</v>
      </c>
      <c r="AI152" t="b">
        <v>1</v>
      </c>
      <c r="AJ152" t="s">
        <v>168</v>
      </c>
      <c r="AM152">
        <v>1</v>
      </c>
      <c r="AT152" t="s">
        <v>512</v>
      </c>
      <c r="AU152" t="s">
        <v>143</v>
      </c>
      <c r="AV152" t="s">
        <v>511</v>
      </c>
      <c r="BB152" t="s">
        <v>280</v>
      </c>
      <c r="BC152" t="s">
        <v>134</v>
      </c>
    </row>
    <row r="153" spans="1:58" x14ac:dyDescent="0.2">
      <c r="E153">
        <v>1</v>
      </c>
      <c r="F153" t="s">
        <v>267</v>
      </c>
      <c r="H153">
        <v>1</v>
      </c>
      <c r="R153">
        <v>61.225940000000001</v>
      </c>
      <c r="S153">
        <v>1</v>
      </c>
      <c r="T153">
        <v>-152.16867999999999</v>
      </c>
      <c r="U153">
        <v>0</v>
      </c>
      <c r="AA153">
        <v>13</v>
      </c>
      <c r="AB153" t="b">
        <v>1</v>
      </c>
      <c r="AE153">
        <v>0</v>
      </c>
      <c r="AJ153" t="s">
        <v>168</v>
      </c>
      <c r="AM153">
        <v>1</v>
      </c>
      <c r="AT153" t="s">
        <v>169</v>
      </c>
      <c r="AU153" t="s">
        <v>137</v>
      </c>
      <c r="AV153" t="s">
        <v>616</v>
      </c>
      <c r="BB153" t="s">
        <v>144</v>
      </c>
      <c r="BC153" t="s">
        <v>122</v>
      </c>
    </row>
    <row r="154" spans="1:58" x14ac:dyDescent="0.2">
      <c r="E154">
        <v>2</v>
      </c>
      <c r="F154" t="s">
        <v>320</v>
      </c>
      <c r="H154">
        <v>2</v>
      </c>
      <c r="R154">
        <v>61.225940000000001</v>
      </c>
      <c r="S154">
        <v>1</v>
      </c>
      <c r="T154">
        <v>-152.16867999999999</v>
      </c>
      <c r="U154">
        <v>0</v>
      </c>
      <c r="AA154">
        <v>36</v>
      </c>
      <c r="AB154" t="b">
        <v>0</v>
      </c>
      <c r="AE154">
        <v>0</v>
      </c>
      <c r="AJ154" t="s">
        <v>168</v>
      </c>
      <c r="AM154">
        <v>1</v>
      </c>
      <c r="AT154" t="s">
        <v>170</v>
      </c>
      <c r="AU154" t="s">
        <v>137</v>
      </c>
      <c r="AV154" t="s">
        <v>625</v>
      </c>
      <c r="BB154" t="s">
        <v>144</v>
      </c>
      <c r="BC154" t="s">
        <v>122</v>
      </c>
    </row>
    <row r="155" spans="1:58" x14ac:dyDescent="0.2">
      <c r="D155">
        <v>2300000</v>
      </c>
      <c r="E155">
        <v>181</v>
      </c>
      <c r="F155" t="s">
        <v>267</v>
      </c>
      <c r="H155">
        <v>181</v>
      </c>
      <c r="I155">
        <v>1700</v>
      </c>
      <c r="O155">
        <v>5000</v>
      </c>
      <c r="R155">
        <v>61.29739</v>
      </c>
      <c r="T155">
        <v>-152.24213</v>
      </c>
      <c r="U155">
        <v>1</v>
      </c>
      <c r="AA155">
        <v>567</v>
      </c>
      <c r="AB155" t="b">
        <v>0</v>
      </c>
      <c r="AE155">
        <v>700</v>
      </c>
      <c r="AF155" t="b">
        <v>0</v>
      </c>
      <c r="AI155" t="b">
        <v>1</v>
      </c>
      <c r="AJ155" t="s">
        <v>168</v>
      </c>
      <c r="AM155">
        <v>4</v>
      </c>
      <c r="AT155" t="s">
        <v>647</v>
      </c>
      <c r="AU155" t="s">
        <v>648</v>
      </c>
      <c r="AV155" t="s">
        <v>646</v>
      </c>
      <c r="AW155">
        <v>61.262880000000003</v>
      </c>
      <c r="AX155">
        <v>-152.18878000000001</v>
      </c>
      <c r="AY155">
        <v>61.29739</v>
      </c>
      <c r="AZ155">
        <v>-152.24213</v>
      </c>
      <c r="BB155" t="s">
        <v>341</v>
      </c>
      <c r="BC155" t="s">
        <v>134</v>
      </c>
      <c r="BD155">
        <v>835000</v>
      </c>
    </row>
    <row r="156" spans="1:58" x14ac:dyDescent="0.2">
      <c r="E156">
        <v>103</v>
      </c>
      <c r="F156" t="s">
        <v>267</v>
      </c>
      <c r="H156">
        <v>103</v>
      </c>
      <c r="R156">
        <v>61.225900000000003</v>
      </c>
      <c r="T156">
        <v>-152.1687</v>
      </c>
      <c r="U156">
        <v>0</v>
      </c>
      <c r="AA156">
        <v>11</v>
      </c>
      <c r="AB156" t="b">
        <v>1</v>
      </c>
      <c r="AE156">
        <v>0</v>
      </c>
      <c r="AJ156" t="s">
        <v>171</v>
      </c>
      <c r="AM156">
        <v>1</v>
      </c>
      <c r="AT156" t="s">
        <v>172</v>
      </c>
      <c r="AU156" t="s">
        <v>137</v>
      </c>
      <c r="AV156" t="s">
        <v>661</v>
      </c>
      <c r="BB156" t="s">
        <v>144</v>
      </c>
      <c r="BC156" t="s">
        <v>122</v>
      </c>
    </row>
    <row r="157" spans="1:58" x14ac:dyDescent="0.2">
      <c r="E157">
        <v>104</v>
      </c>
      <c r="F157" t="s">
        <v>267</v>
      </c>
      <c r="H157">
        <v>104</v>
      </c>
      <c r="R157">
        <v>61.225900000000003</v>
      </c>
      <c r="T157">
        <v>-152.1687</v>
      </c>
      <c r="U157">
        <v>0</v>
      </c>
      <c r="AA157">
        <v>1</v>
      </c>
      <c r="AB157" t="b">
        <v>1</v>
      </c>
      <c r="AE157">
        <v>0</v>
      </c>
      <c r="AJ157" t="s">
        <v>173</v>
      </c>
      <c r="AM157">
        <v>1</v>
      </c>
      <c r="AT157" t="s">
        <v>174</v>
      </c>
      <c r="AU157" t="s">
        <v>137</v>
      </c>
      <c r="AV157" t="s">
        <v>687</v>
      </c>
      <c r="BB157" t="s">
        <v>144</v>
      </c>
      <c r="BC157" t="s">
        <v>122</v>
      </c>
    </row>
    <row r="158" spans="1:58" x14ac:dyDescent="0.2">
      <c r="E158">
        <v>298</v>
      </c>
      <c r="F158" t="s">
        <v>267</v>
      </c>
      <c r="H158">
        <v>298</v>
      </c>
      <c r="R158">
        <v>46.2014</v>
      </c>
      <c r="S158">
        <v>0.2</v>
      </c>
      <c r="T158">
        <v>-122.17529999999999</v>
      </c>
      <c r="U158">
        <v>0</v>
      </c>
      <c r="AA158">
        <v>18</v>
      </c>
      <c r="AB158" t="b">
        <v>1</v>
      </c>
      <c r="AE158">
        <v>0</v>
      </c>
      <c r="AI158" t="b">
        <v>0</v>
      </c>
      <c r="AJ158" t="s">
        <v>175</v>
      </c>
      <c r="AM158">
        <v>2</v>
      </c>
      <c r="AT158" t="s">
        <v>465</v>
      </c>
      <c r="AU158" t="s">
        <v>120</v>
      </c>
      <c r="AV158" t="s">
        <v>464</v>
      </c>
      <c r="BB158" t="s">
        <v>312</v>
      </c>
      <c r="BC158" t="s">
        <v>191</v>
      </c>
    </row>
    <row r="159" spans="1:58" x14ac:dyDescent="0.2">
      <c r="E159">
        <v>80</v>
      </c>
      <c r="F159" t="s">
        <v>267</v>
      </c>
      <c r="H159">
        <v>80</v>
      </c>
      <c r="I159">
        <v>1430</v>
      </c>
      <c r="O159">
        <v>7200</v>
      </c>
      <c r="R159">
        <v>46.19932</v>
      </c>
      <c r="S159">
        <v>0.02</v>
      </c>
      <c r="T159">
        <v>-122.17547</v>
      </c>
      <c r="U159">
        <v>0</v>
      </c>
      <c r="AA159">
        <v>169</v>
      </c>
      <c r="AB159" t="b">
        <v>1</v>
      </c>
      <c r="AE159">
        <v>0</v>
      </c>
      <c r="AJ159" t="s">
        <v>175</v>
      </c>
      <c r="AM159">
        <v>2</v>
      </c>
      <c r="AT159" t="s">
        <v>526</v>
      </c>
      <c r="AU159" t="s">
        <v>137</v>
      </c>
      <c r="AV159" t="s">
        <v>525</v>
      </c>
      <c r="AW159">
        <v>46.179850000000002</v>
      </c>
      <c r="AX159">
        <v>-122.11105000000001</v>
      </c>
      <c r="AY159">
        <v>46.19932</v>
      </c>
      <c r="AZ159">
        <v>-122.17547</v>
      </c>
      <c r="BB159" t="s">
        <v>527</v>
      </c>
      <c r="BC159" t="s">
        <v>375</v>
      </c>
    </row>
    <row r="160" spans="1:58" x14ac:dyDescent="0.2">
      <c r="E160">
        <v>5</v>
      </c>
      <c r="F160" t="s">
        <v>267</v>
      </c>
      <c r="H160">
        <v>5</v>
      </c>
      <c r="R160">
        <v>46.213000000000001</v>
      </c>
      <c r="S160">
        <v>0.5</v>
      </c>
      <c r="T160">
        <v>-122.191</v>
      </c>
      <c r="U160">
        <v>0</v>
      </c>
      <c r="AA160">
        <v>2</v>
      </c>
      <c r="AB160" t="b">
        <v>1</v>
      </c>
      <c r="AE160">
        <v>0</v>
      </c>
      <c r="AJ160" t="s">
        <v>175</v>
      </c>
      <c r="AM160">
        <v>3</v>
      </c>
      <c r="AT160" t="s">
        <v>176</v>
      </c>
      <c r="AU160" t="s">
        <v>137</v>
      </c>
      <c r="AV160" t="s">
        <v>771</v>
      </c>
      <c r="BB160" t="s">
        <v>121</v>
      </c>
      <c r="BC160" t="s">
        <v>122</v>
      </c>
    </row>
    <row r="161" spans="4:58" x14ac:dyDescent="0.2">
      <c r="E161">
        <v>52</v>
      </c>
      <c r="F161" t="s">
        <v>267</v>
      </c>
      <c r="H161">
        <v>52</v>
      </c>
      <c r="R161">
        <v>46.205080000000002</v>
      </c>
      <c r="S161">
        <v>2</v>
      </c>
      <c r="T161">
        <v>-122.21442</v>
      </c>
      <c r="U161">
        <v>0</v>
      </c>
      <c r="AA161">
        <v>7</v>
      </c>
      <c r="AB161" t="b">
        <v>1</v>
      </c>
      <c r="AE161">
        <v>0</v>
      </c>
      <c r="AJ161" t="s">
        <v>175</v>
      </c>
      <c r="AM161">
        <v>1</v>
      </c>
      <c r="AT161" t="s">
        <v>177</v>
      </c>
      <c r="AU161" t="s">
        <v>137</v>
      </c>
      <c r="AV161" t="s">
        <v>772</v>
      </c>
      <c r="AY161">
        <v>46.205080000000002</v>
      </c>
      <c r="AZ161">
        <v>-122.21442</v>
      </c>
      <c r="BB161" t="s">
        <v>121</v>
      </c>
      <c r="BC161" t="s">
        <v>122</v>
      </c>
    </row>
    <row r="162" spans="4:58" x14ac:dyDescent="0.2">
      <c r="E162">
        <v>35</v>
      </c>
      <c r="F162" t="s">
        <v>267</v>
      </c>
      <c r="H162">
        <v>35</v>
      </c>
      <c r="I162">
        <v>820</v>
      </c>
      <c r="J162">
        <v>600</v>
      </c>
      <c r="K162">
        <v>1000</v>
      </c>
      <c r="O162">
        <v>3420</v>
      </c>
      <c r="P162">
        <v>4000</v>
      </c>
      <c r="Q162">
        <v>3000</v>
      </c>
      <c r="R162">
        <v>46.205080000000002</v>
      </c>
      <c r="S162">
        <v>1</v>
      </c>
      <c r="T162">
        <v>-122.21442</v>
      </c>
      <c r="U162">
        <v>0</v>
      </c>
      <c r="AA162">
        <v>19</v>
      </c>
      <c r="AB162" t="b">
        <v>1</v>
      </c>
      <c r="AE162">
        <v>0</v>
      </c>
      <c r="AG162">
        <v>0</v>
      </c>
      <c r="AI162" t="b">
        <v>0</v>
      </c>
      <c r="AJ162" t="s">
        <v>175</v>
      </c>
      <c r="AM162">
        <v>2</v>
      </c>
      <c r="AT162" t="s">
        <v>178</v>
      </c>
      <c r="AU162" t="s">
        <v>137</v>
      </c>
      <c r="AV162" t="s">
        <v>773</v>
      </c>
      <c r="AW162">
        <v>46.210419999999999</v>
      </c>
      <c r="AX162">
        <v>-122.25349</v>
      </c>
      <c r="AY162">
        <v>46.205080000000002</v>
      </c>
      <c r="AZ162">
        <v>-122.21442</v>
      </c>
      <c r="BB162" t="s">
        <v>121</v>
      </c>
      <c r="BC162" t="s">
        <v>122</v>
      </c>
      <c r="BD162">
        <v>13000</v>
      </c>
      <c r="BE162">
        <v>28000</v>
      </c>
      <c r="BF162">
        <v>4400</v>
      </c>
    </row>
    <row r="163" spans="4:58" x14ac:dyDescent="0.2">
      <c r="E163">
        <v>79</v>
      </c>
      <c r="F163" t="s">
        <v>267</v>
      </c>
      <c r="H163">
        <v>79</v>
      </c>
      <c r="R163">
        <v>46.193399999999997</v>
      </c>
      <c r="S163">
        <v>0.15</v>
      </c>
      <c r="T163">
        <v>-122.1759</v>
      </c>
      <c r="U163">
        <v>0</v>
      </c>
      <c r="AA163">
        <v>18</v>
      </c>
      <c r="AB163" t="b">
        <v>1</v>
      </c>
      <c r="AE163">
        <v>0</v>
      </c>
      <c r="AJ163" t="s">
        <v>175</v>
      </c>
      <c r="AM163">
        <v>3</v>
      </c>
      <c r="AT163" t="s">
        <v>751</v>
      </c>
      <c r="AU163" t="s">
        <v>137</v>
      </c>
      <c r="AV163" t="s">
        <v>750</v>
      </c>
      <c r="BB163" t="s">
        <v>374</v>
      </c>
      <c r="BC163" t="s">
        <v>375</v>
      </c>
    </row>
    <row r="164" spans="4:58" x14ac:dyDescent="0.2">
      <c r="E164">
        <v>10</v>
      </c>
      <c r="F164" t="s">
        <v>267</v>
      </c>
      <c r="H164">
        <v>10</v>
      </c>
      <c r="I164">
        <v>380</v>
      </c>
      <c r="J164">
        <v>400</v>
      </c>
      <c r="K164">
        <v>330</v>
      </c>
      <c r="O164">
        <v>1300</v>
      </c>
      <c r="R164">
        <v>46.195700000000002</v>
      </c>
      <c r="S164">
        <v>0.2</v>
      </c>
      <c r="T164">
        <v>-122.188</v>
      </c>
      <c r="U164">
        <v>0</v>
      </c>
      <c r="AA164">
        <v>365</v>
      </c>
      <c r="AB164" t="b">
        <v>1</v>
      </c>
      <c r="AE164">
        <v>0</v>
      </c>
      <c r="AJ164" t="s">
        <v>175</v>
      </c>
      <c r="AM164">
        <v>5</v>
      </c>
      <c r="AT164" t="s">
        <v>760</v>
      </c>
      <c r="AU164" t="s">
        <v>137</v>
      </c>
      <c r="AV164" t="s">
        <v>759</v>
      </c>
      <c r="AW164">
        <v>46.206899999999997</v>
      </c>
      <c r="AX164">
        <v>-122.1871</v>
      </c>
      <c r="AY164">
        <v>46.195700000000002</v>
      </c>
      <c r="AZ164">
        <v>-122.188</v>
      </c>
      <c r="BB164" t="s">
        <v>312</v>
      </c>
      <c r="BC164" t="s">
        <v>191</v>
      </c>
      <c r="BD164">
        <v>75000</v>
      </c>
      <c r="BE164">
        <v>100000</v>
      </c>
      <c r="BF164">
        <v>50000</v>
      </c>
    </row>
    <row r="165" spans="4:58" x14ac:dyDescent="0.2">
      <c r="E165">
        <v>295</v>
      </c>
      <c r="F165" t="s">
        <v>267</v>
      </c>
      <c r="H165">
        <v>295</v>
      </c>
      <c r="R165">
        <v>46.204599999999999</v>
      </c>
      <c r="S165">
        <v>0.4</v>
      </c>
      <c r="T165">
        <v>-122.1994</v>
      </c>
      <c r="U165">
        <v>0</v>
      </c>
      <c r="AA165">
        <v>12</v>
      </c>
      <c r="AB165" t="b">
        <v>1</v>
      </c>
      <c r="AE165">
        <v>0</v>
      </c>
      <c r="AG165">
        <v>2</v>
      </c>
      <c r="AH165" t="b">
        <v>1</v>
      </c>
      <c r="AI165" t="b">
        <v>1</v>
      </c>
      <c r="AJ165" t="s">
        <v>175</v>
      </c>
      <c r="AM165">
        <v>2</v>
      </c>
      <c r="AT165" t="s">
        <v>797</v>
      </c>
      <c r="AU165" t="s">
        <v>120</v>
      </c>
      <c r="AV165" t="s">
        <v>796</v>
      </c>
      <c r="BB165" t="s">
        <v>374</v>
      </c>
      <c r="BC165" t="s">
        <v>375</v>
      </c>
    </row>
    <row r="166" spans="4:58" x14ac:dyDescent="0.2">
      <c r="D166">
        <v>60000000</v>
      </c>
      <c r="E166">
        <v>6</v>
      </c>
      <c r="F166" t="s">
        <v>267</v>
      </c>
      <c r="H166">
        <v>6</v>
      </c>
      <c r="I166">
        <v>2550</v>
      </c>
      <c r="O166">
        <v>24000</v>
      </c>
      <c r="P166">
        <v>29000</v>
      </c>
      <c r="Q166">
        <v>17000</v>
      </c>
      <c r="R166">
        <v>46.1905</v>
      </c>
      <c r="S166">
        <v>0</v>
      </c>
      <c r="T166">
        <v>-122.1896</v>
      </c>
      <c r="U166">
        <v>1</v>
      </c>
      <c r="V166">
        <v>4600000000000</v>
      </c>
      <c r="W166">
        <v>5800000000000</v>
      </c>
      <c r="X166">
        <v>2500000000000</v>
      </c>
      <c r="AA166">
        <v>343</v>
      </c>
      <c r="AB166" t="b">
        <v>0</v>
      </c>
      <c r="AE166">
        <v>10000</v>
      </c>
      <c r="AF166" t="b">
        <v>0</v>
      </c>
      <c r="AJ166" t="s">
        <v>175</v>
      </c>
      <c r="AM166">
        <v>5</v>
      </c>
      <c r="AT166" t="s">
        <v>882</v>
      </c>
      <c r="AU166" t="s">
        <v>137</v>
      </c>
      <c r="AV166" t="s">
        <v>881</v>
      </c>
      <c r="AW166">
        <v>46.311</v>
      </c>
      <c r="AX166">
        <v>-122.4431</v>
      </c>
      <c r="AY166">
        <v>46.1905</v>
      </c>
      <c r="AZ166">
        <v>-122.1896</v>
      </c>
      <c r="BB166" t="s">
        <v>883</v>
      </c>
      <c r="BC166" t="s">
        <v>134</v>
      </c>
      <c r="BD166">
        <v>2500000000</v>
      </c>
      <c r="BE166">
        <v>2800000000</v>
      </c>
      <c r="BF166">
        <v>2300000000</v>
      </c>
    </row>
    <row r="167" spans="4:58" x14ac:dyDescent="0.2">
      <c r="E167">
        <v>78</v>
      </c>
      <c r="F167" t="s">
        <v>267</v>
      </c>
      <c r="H167">
        <v>78</v>
      </c>
      <c r="R167">
        <v>46.197899999999997</v>
      </c>
      <c r="S167">
        <v>0.2</v>
      </c>
      <c r="T167">
        <v>-122.1687</v>
      </c>
      <c r="U167">
        <v>0</v>
      </c>
      <c r="AA167">
        <v>18</v>
      </c>
      <c r="AB167" t="b">
        <v>1</v>
      </c>
      <c r="AE167">
        <v>0</v>
      </c>
      <c r="AJ167" t="s">
        <v>175</v>
      </c>
      <c r="AM167">
        <v>3</v>
      </c>
      <c r="AT167" t="s">
        <v>989</v>
      </c>
      <c r="AU167" t="s">
        <v>137</v>
      </c>
      <c r="AV167" t="s">
        <v>988</v>
      </c>
      <c r="BB167" t="s">
        <v>374</v>
      </c>
      <c r="BC167" t="s">
        <v>375</v>
      </c>
    </row>
    <row r="168" spans="4:58" x14ac:dyDescent="0.2">
      <c r="E168">
        <v>167</v>
      </c>
      <c r="F168" t="s">
        <v>287</v>
      </c>
      <c r="H168">
        <v>167</v>
      </c>
      <c r="R168">
        <v>46.198</v>
      </c>
      <c r="S168">
        <v>0.8</v>
      </c>
      <c r="T168">
        <v>-122.17400000000001</v>
      </c>
      <c r="U168">
        <v>0</v>
      </c>
      <c r="AA168">
        <v>90</v>
      </c>
      <c r="AB168" t="b">
        <v>1</v>
      </c>
      <c r="AE168">
        <v>0</v>
      </c>
      <c r="AG168">
        <v>0</v>
      </c>
      <c r="AI168" t="b">
        <v>0</v>
      </c>
      <c r="AJ168" t="s">
        <v>1021</v>
      </c>
      <c r="AM168">
        <v>2</v>
      </c>
      <c r="AT168" t="s">
        <v>1022</v>
      </c>
      <c r="AU168" t="s">
        <v>143</v>
      </c>
      <c r="AV168" t="s">
        <v>1020</v>
      </c>
      <c r="BB168" t="s">
        <v>374</v>
      </c>
      <c r="BC168" t="s">
        <v>375</v>
      </c>
    </row>
    <row r="169" spans="4:58" x14ac:dyDescent="0.2">
      <c r="E169">
        <v>296</v>
      </c>
      <c r="F169" t="s">
        <v>267</v>
      </c>
      <c r="H169">
        <v>296</v>
      </c>
      <c r="R169">
        <v>46.198500000000003</v>
      </c>
      <c r="S169">
        <v>0.4</v>
      </c>
      <c r="T169">
        <v>-122.1759</v>
      </c>
      <c r="U169">
        <v>0</v>
      </c>
      <c r="AA169">
        <v>4</v>
      </c>
      <c r="AB169" t="b">
        <v>1</v>
      </c>
      <c r="AE169">
        <v>0</v>
      </c>
      <c r="AI169" t="b">
        <v>0</v>
      </c>
      <c r="AJ169" t="s">
        <v>1021</v>
      </c>
      <c r="AM169">
        <v>1</v>
      </c>
      <c r="AT169" t="s">
        <v>1028</v>
      </c>
      <c r="AU169" t="s">
        <v>120</v>
      </c>
      <c r="AV169" t="s">
        <v>1027</v>
      </c>
      <c r="BB169" t="s">
        <v>312</v>
      </c>
      <c r="BC169" t="s">
        <v>191</v>
      </c>
    </row>
    <row r="170" spans="4:58" x14ac:dyDescent="0.2">
      <c r="E170">
        <v>168</v>
      </c>
      <c r="F170" t="s">
        <v>287</v>
      </c>
      <c r="H170">
        <v>168</v>
      </c>
      <c r="R170">
        <v>46.198</v>
      </c>
      <c r="S170">
        <v>0.8</v>
      </c>
      <c r="T170">
        <v>-122.17400000000001</v>
      </c>
      <c r="U170">
        <v>0</v>
      </c>
      <c r="AA170">
        <v>92</v>
      </c>
      <c r="AB170" t="b">
        <v>1</v>
      </c>
      <c r="AE170">
        <v>0</v>
      </c>
      <c r="AG170">
        <v>0</v>
      </c>
      <c r="AI170" t="b">
        <v>0</v>
      </c>
      <c r="AJ170" t="s">
        <v>614</v>
      </c>
      <c r="AM170">
        <v>2</v>
      </c>
      <c r="AT170" t="s">
        <v>615</v>
      </c>
      <c r="AU170" t="s">
        <v>143</v>
      </c>
      <c r="AV170" t="s">
        <v>613</v>
      </c>
      <c r="BB170" t="s">
        <v>374</v>
      </c>
      <c r="BC170" t="s">
        <v>375</v>
      </c>
    </row>
    <row r="171" spans="4:58" x14ac:dyDescent="0.2">
      <c r="E171">
        <v>297</v>
      </c>
      <c r="F171" t="s">
        <v>267</v>
      </c>
      <c r="H171">
        <v>297</v>
      </c>
      <c r="R171">
        <v>46.204900000000002</v>
      </c>
      <c r="S171">
        <v>0.4</v>
      </c>
      <c r="T171">
        <v>-122.1742</v>
      </c>
      <c r="U171">
        <v>0</v>
      </c>
      <c r="AA171">
        <v>5</v>
      </c>
      <c r="AB171" t="b">
        <v>1</v>
      </c>
      <c r="AE171">
        <v>0</v>
      </c>
      <c r="AI171" t="b">
        <v>0</v>
      </c>
      <c r="AJ171" t="s">
        <v>614</v>
      </c>
      <c r="AM171">
        <v>1</v>
      </c>
      <c r="AT171" t="s">
        <v>1065</v>
      </c>
      <c r="AU171" t="s">
        <v>120</v>
      </c>
      <c r="AV171" t="s">
        <v>1064</v>
      </c>
      <c r="BB171" t="s">
        <v>312</v>
      </c>
      <c r="BC171" t="s">
        <v>191</v>
      </c>
    </row>
    <row r="172" spans="4:58" x14ac:dyDescent="0.2">
      <c r="E172">
        <v>43</v>
      </c>
      <c r="F172" t="s">
        <v>267</v>
      </c>
      <c r="H172">
        <v>43</v>
      </c>
      <c r="I172">
        <v>1020</v>
      </c>
      <c r="J172">
        <v>1120</v>
      </c>
      <c r="K172">
        <v>800</v>
      </c>
      <c r="O172">
        <v>2500</v>
      </c>
      <c r="P172">
        <v>3700</v>
      </c>
      <c r="Q172">
        <v>2000</v>
      </c>
      <c r="R172">
        <v>61.083799999999997</v>
      </c>
      <c r="S172">
        <v>0.2</v>
      </c>
      <c r="T172">
        <v>-140.22569999999999</v>
      </c>
      <c r="U172">
        <v>1</v>
      </c>
      <c r="V172">
        <v>47500000000</v>
      </c>
      <c r="W172">
        <v>50000000000</v>
      </c>
      <c r="X172">
        <v>45000000000</v>
      </c>
      <c r="AA172">
        <v>561</v>
      </c>
      <c r="AB172" t="b">
        <v>1</v>
      </c>
      <c r="AE172">
        <v>1000</v>
      </c>
      <c r="AF172" t="b">
        <v>0</v>
      </c>
      <c r="AJ172" t="s">
        <v>748</v>
      </c>
      <c r="AM172">
        <v>3</v>
      </c>
      <c r="AT172" t="s">
        <v>749</v>
      </c>
      <c r="AU172" t="s">
        <v>137</v>
      </c>
      <c r="AV172" t="s">
        <v>747</v>
      </c>
      <c r="AW172">
        <v>61.102400000000003</v>
      </c>
      <c r="AX172">
        <v>-140.21700000000001</v>
      </c>
      <c r="AY172">
        <v>61.083799999999997</v>
      </c>
      <c r="AZ172">
        <v>-140.22569999999999</v>
      </c>
      <c r="BB172" t="s">
        <v>284</v>
      </c>
      <c r="BC172" t="s">
        <v>134</v>
      </c>
      <c r="BD172">
        <v>20000000</v>
      </c>
    </row>
    <row r="173" spans="4:58" x14ac:dyDescent="0.2">
      <c r="E173">
        <v>44</v>
      </c>
      <c r="F173" t="s">
        <v>267</v>
      </c>
      <c r="H173">
        <v>44</v>
      </c>
      <c r="I173">
        <v>2600</v>
      </c>
      <c r="J173">
        <v>2200</v>
      </c>
      <c r="K173">
        <v>2400</v>
      </c>
      <c r="O173">
        <v>8000</v>
      </c>
      <c r="P173">
        <v>10000</v>
      </c>
      <c r="Q173">
        <v>7800</v>
      </c>
      <c r="R173">
        <v>61.102490000000003</v>
      </c>
      <c r="S173">
        <v>0</v>
      </c>
      <c r="T173">
        <v>-140.30549999999999</v>
      </c>
      <c r="U173">
        <v>1</v>
      </c>
      <c r="AA173">
        <v>476</v>
      </c>
      <c r="AB173" t="b">
        <v>1</v>
      </c>
      <c r="AE173">
        <v>992</v>
      </c>
      <c r="AF173" t="b">
        <v>1</v>
      </c>
      <c r="AJ173" t="s">
        <v>638</v>
      </c>
      <c r="AM173">
        <v>5</v>
      </c>
      <c r="AT173" t="s">
        <v>639</v>
      </c>
      <c r="AU173" t="s">
        <v>137</v>
      </c>
      <c r="AV173" t="s">
        <v>637</v>
      </c>
      <c r="AW173">
        <v>61.161830000000002</v>
      </c>
      <c r="AX173">
        <v>-140.21042</v>
      </c>
      <c r="AY173">
        <v>61.102490000000003</v>
      </c>
      <c r="AZ173">
        <v>-140.30549999999999</v>
      </c>
      <c r="BB173" t="s">
        <v>341</v>
      </c>
      <c r="BC173" t="s">
        <v>134</v>
      </c>
      <c r="BD173">
        <v>3000000</v>
      </c>
    </row>
    <row r="174" spans="4:58" x14ac:dyDescent="0.2">
      <c r="E174">
        <v>22</v>
      </c>
      <c r="F174" t="s">
        <v>267</v>
      </c>
      <c r="H174">
        <v>22</v>
      </c>
      <c r="I174">
        <v>1860</v>
      </c>
      <c r="O174">
        <v>5760</v>
      </c>
      <c r="R174">
        <v>61.102490000000003</v>
      </c>
      <c r="S174">
        <v>0</v>
      </c>
      <c r="T174">
        <v>-140.30549999999999</v>
      </c>
      <c r="U174">
        <v>1</v>
      </c>
      <c r="V174">
        <v>108000000000</v>
      </c>
      <c r="AA174">
        <v>1079</v>
      </c>
      <c r="AB174" t="b">
        <v>1</v>
      </c>
      <c r="AE174">
        <v>1100</v>
      </c>
      <c r="AF174" t="b">
        <v>0</v>
      </c>
      <c r="AJ174" t="s">
        <v>269</v>
      </c>
      <c r="AM174">
        <v>5</v>
      </c>
      <c r="AT174" t="s">
        <v>270</v>
      </c>
      <c r="AU174" t="s">
        <v>137</v>
      </c>
      <c r="AV174" t="s">
        <v>268</v>
      </c>
      <c r="AW174">
        <v>61.140540000000001</v>
      </c>
      <c r="AX174">
        <v>-140.25324000000001</v>
      </c>
      <c r="AY174">
        <v>61.102490000000003</v>
      </c>
      <c r="AZ174">
        <v>-140.30549999999999</v>
      </c>
      <c r="BB174" t="s">
        <v>271</v>
      </c>
      <c r="BC174" t="s">
        <v>134</v>
      </c>
      <c r="BD174">
        <v>54000000</v>
      </c>
      <c r="BE174">
        <v>80500000</v>
      </c>
      <c r="BF174">
        <v>27500000</v>
      </c>
    </row>
    <row r="175" spans="4:58" x14ac:dyDescent="0.2">
      <c r="E175">
        <v>23</v>
      </c>
      <c r="F175" t="s">
        <v>267</v>
      </c>
      <c r="H175">
        <v>23</v>
      </c>
      <c r="I175">
        <v>2430</v>
      </c>
      <c r="O175">
        <v>9000</v>
      </c>
      <c r="R175">
        <v>60.517150000000001</v>
      </c>
      <c r="S175">
        <v>0</v>
      </c>
      <c r="T175">
        <v>-143.09155000000001</v>
      </c>
      <c r="U175">
        <v>1</v>
      </c>
      <c r="V175">
        <v>81000000000</v>
      </c>
      <c r="AA175">
        <v>1082</v>
      </c>
      <c r="AB175" t="b">
        <v>1</v>
      </c>
      <c r="AE175">
        <v>1100</v>
      </c>
      <c r="AF175" t="b">
        <v>0</v>
      </c>
      <c r="AJ175" t="s">
        <v>607</v>
      </c>
      <c r="AM175">
        <v>5</v>
      </c>
      <c r="AT175" t="s">
        <v>608</v>
      </c>
      <c r="AU175" t="s">
        <v>137</v>
      </c>
      <c r="AV175" t="s">
        <v>606</v>
      </c>
      <c r="BB175" t="s">
        <v>271</v>
      </c>
      <c r="BC175" t="s">
        <v>134</v>
      </c>
      <c r="BD175">
        <v>50000000</v>
      </c>
      <c r="BE175">
        <v>60000000</v>
      </c>
      <c r="BF175">
        <v>40000000</v>
      </c>
    </row>
    <row r="176" spans="4:58" x14ac:dyDescent="0.2">
      <c r="E176">
        <v>117</v>
      </c>
      <c r="F176" t="s">
        <v>267</v>
      </c>
      <c r="H176">
        <v>117</v>
      </c>
      <c r="O176">
        <v>11000</v>
      </c>
      <c r="R176">
        <v>61.640189999999997</v>
      </c>
      <c r="S176">
        <v>1</v>
      </c>
      <c r="T176">
        <v>-141.56030000000001</v>
      </c>
      <c r="U176">
        <v>1</v>
      </c>
      <c r="AA176">
        <v>393</v>
      </c>
      <c r="AB176" t="b">
        <v>1</v>
      </c>
      <c r="AE176">
        <v>500</v>
      </c>
      <c r="AF176" t="b">
        <v>0</v>
      </c>
      <c r="AJ176" t="s">
        <v>931</v>
      </c>
      <c r="AM176">
        <v>4</v>
      </c>
      <c r="AT176" t="s">
        <v>932</v>
      </c>
      <c r="AU176" t="s">
        <v>137</v>
      </c>
      <c r="AV176" t="s">
        <v>930</v>
      </c>
      <c r="BB176" t="s">
        <v>291</v>
      </c>
      <c r="BC176" t="s">
        <v>134</v>
      </c>
      <c r="BD176">
        <v>9000000</v>
      </c>
      <c r="BE176">
        <v>11200000</v>
      </c>
      <c r="BF176">
        <v>6800000</v>
      </c>
    </row>
    <row r="177" spans="1:58" x14ac:dyDescent="0.2">
      <c r="E177">
        <v>110</v>
      </c>
      <c r="F177" t="s">
        <v>267</v>
      </c>
      <c r="H177">
        <v>110</v>
      </c>
      <c r="R177">
        <v>61.640189999999997</v>
      </c>
      <c r="S177">
        <v>1</v>
      </c>
      <c r="T177">
        <v>-141.56030000000001</v>
      </c>
      <c r="U177">
        <v>1</v>
      </c>
      <c r="AA177">
        <v>207</v>
      </c>
      <c r="AB177" t="b">
        <v>1</v>
      </c>
      <c r="AE177">
        <v>425</v>
      </c>
      <c r="AF177" t="b">
        <v>1</v>
      </c>
      <c r="AJ177" t="s">
        <v>849</v>
      </c>
      <c r="AM177">
        <v>4</v>
      </c>
      <c r="AT177" t="s">
        <v>850</v>
      </c>
      <c r="AU177" t="s">
        <v>137</v>
      </c>
      <c r="AV177" t="s">
        <v>848</v>
      </c>
      <c r="BB177" t="s">
        <v>271</v>
      </c>
      <c r="BC177" t="s">
        <v>134</v>
      </c>
    </row>
    <row r="178" spans="1:58" x14ac:dyDescent="0.2">
      <c r="E178">
        <v>111</v>
      </c>
      <c r="F178" t="s">
        <v>267</v>
      </c>
      <c r="H178">
        <v>111</v>
      </c>
      <c r="R178">
        <v>61.640189999999997</v>
      </c>
      <c r="S178">
        <v>1</v>
      </c>
      <c r="T178">
        <v>-141.56030000000001</v>
      </c>
      <c r="U178">
        <v>1</v>
      </c>
      <c r="AA178">
        <v>610</v>
      </c>
      <c r="AB178" t="b">
        <v>1</v>
      </c>
      <c r="AE178">
        <v>500</v>
      </c>
      <c r="AF178" t="b">
        <v>0</v>
      </c>
      <c r="AJ178" t="s">
        <v>980</v>
      </c>
      <c r="AM178">
        <v>4</v>
      </c>
      <c r="AT178" t="s">
        <v>981</v>
      </c>
      <c r="AU178" t="s">
        <v>137</v>
      </c>
      <c r="AV178" t="s">
        <v>979</v>
      </c>
      <c r="BB178" t="s">
        <v>271</v>
      </c>
      <c r="BC178" t="s">
        <v>134</v>
      </c>
    </row>
    <row r="179" spans="1:58" x14ac:dyDescent="0.2">
      <c r="E179">
        <v>112</v>
      </c>
      <c r="F179" t="s">
        <v>267</v>
      </c>
      <c r="H179">
        <v>112</v>
      </c>
      <c r="R179">
        <v>61.640189999999997</v>
      </c>
      <c r="S179">
        <v>1</v>
      </c>
      <c r="T179">
        <v>-141.56030000000001</v>
      </c>
      <c r="U179">
        <v>0</v>
      </c>
      <c r="AA179">
        <v>207</v>
      </c>
      <c r="AB179" t="b">
        <v>1</v>
      </c>
      <c r="AE179">
        <v>0</v>
      </c>
      <c r="AG179">
        <v>0</v>
      </c>
      <c r="AI179" t="b">
        <v>0</v>
      </c>
      <c r="AJ179" t="s">
        <v>548</v>
      </c>
      <c r="AM179">
        <v>4</v>
      </c>
      <c r="AT179" t="s">
        <v>549</v>
      </c>
      <c r="AU179" t="s">
        <v>137</v>
      </c>
      <c r="AV179" t="s">
        <v>547</v>
      </c>
      <c r="BB179" t="s">
        <v>271</v>
      </c>
      <c r="BC179" t="s">
        <v>134</v>
      </c>
    </row>
    <row r="180" spans="1:58" x14ac:dyDescent="0.2">
      <c r="E180">
        <v>113</v>
      </c>
      <c r="F180" t="s">
        <v>267</v>
      </c>
      <c r="H180">
        <v>113</v>
      </c>
      <c r="R180">
        <v>61.640189999999997</v>
      </c>
      <c r="S180">
        <v>1</v>
      </c>
      <c r="T180">
        <v>-141.56030000000001</v>
      </c>
      <c r="U180">
        <v>1</v>
      </c>
      <c r="AA180">
        <v>412</v>
      </c>
      <c r="AB180" t="b">
        <v>1</v>
      </c>
      <c r="AE180">
        <v>500</v>
      </c>
      <c r="AF180" t="b">
        <v>0</v>
      </c>
      <c r="AG180">
        <v>0</v>
      </c>
      <c r="AI180" t="b">
        <v>0</v>
      </c>
      <c r="AJ180" t="s">
        <v>602</v>
      </c>
      <c r="AM180">
        <v>4</v>
      </c>
      <c r="AT180" t="s">
        <v>603</v>
      </c>
      <c r="AU180" t="s">
        <v>137</v>
      </c>
      <c r="AV180" t="s">
        <v>601</v>
      </c>
      <c r="BB180" t="s">
        <v>271</v>
      </c>
      <c r="BC180" t="s">
        <v>134</v>
      </c>
    </row>
    <row r="181" spans="1:58" x14ac:dyDescent="0.2">
      <c r="E181">
        <v>115</v>
      </c>
      <c r="F181" t="s">
        <v>267</v>
      </c>
      <c r="H181">
        <v>115</v>
      </c>
      <c r="R181">
        <v>61.640189999999997</v>
      </c>
      <c r="S181">
        <v>1</v>
      </c>
      <c r="T181">
        <v>-141.56030000000001</v>
      </c>
      <c r="U181">
        <v>1</v>
      </c>
      <c r="AA181">
        <v>512</v>
      </c>
      <c r="AB181" t="b">
        <v>1</v>
      </c>
      <c r="AE181">
        <v>500</v>
      </c>
      <c r="AF181" t="b">
        <v>0</v>
      </c>
      <c r="AJ181" t="s">
        <v>764</v>
      </c>
      <c r="AM181">
        <v>4</v>
      </c>
      <c r="AT181" t="s">
        <v>765</v>
      </c>
      <c r="AU181" t="s">
        <v>137</v>
      </c>
      <c r="AV181" t="s">
        <v>763</v>
      </c>
      <c r="BB181" t="s">
        <v>271</v>
      </c>
      <c r="BC181" t="s">
        <v>134</v>
      </c>
    </row>
    <row r="182" spans="1:58" x14ac:dyDescent="0.2">
      <c r="E182">
        <v>278</v>
      </c>
      <c r="F182" t="s">
        <v>285</v>
      </c>
      <c r="H182">
        <v>278</v>
      </c>
      <c r="R182">
        <v>41.390700000000002</v>
      </c>
      <c r="S182">
        <v>0.5</v>
      </c>
      <c r="T182">
        <v>-122.1855</v>
      </c>
      <c r="U182">
        <v>0</v>
      </c>
      <c r="Y182">
        <v>0</v>
      </c>
      <c r="AA182">
        <v>26</v>
      </c>
      <c r="AB182" t="b">
        <v>1</v>
      </c>
      <c r="AE182">
        <v>0</v>
      </c>
      <c r="AG182">
        <v>0</v>
      </c>
      <c r="AJ182" t="s">
        <v>179</v>
      </c>
      <c r="AM182">
        <v>4</v>
      </c>
      <c r="AT182" t="s">
        <v>180</v>
      </c>
      <c r="AU182" t="s">
        <v>120</v>
      </c>
      <c r="AV182" t="s">
        <v>784</v>
      </c>
      <c r="BB182" t="s">
        <v>121</v>
      </c>
      <c r="BC182" t="s">
        <v>122</v>
      </c>
    </row>
    <row r="183" spans="1:58" x14ac:dyDescent="0.2">
      <c r="E183">
        <v>279</v>
      </c>
      <c r="F183" t="s">
        <v>285</v>
      </c>
      <c r="H183">
        <v>279</v>
      </c>
      <c r="R183">
        <v>41.392800000000001</v>
      </c>
      <c r="S183">
        <v>0.5</v>
      </c>
      <c r="T183">
        <v>-122.1883</v>
      </c>
      <c r="U183">
        <v>0</v>
      </c>
      <c r="Y183">
        <v>0</v>
      </c>
      <c r="AA183">
        <v>15</v>
      </c>
      <c r="AB183" t="b">
        <v>1</v>
      </c>
      <c r="AE183">
        <v>0</v>
      </c>
      <c r="AG183">
        <v>0</v>
      </c>
      <c r="AJ183" t="s">
        <v>179</v>
      </c>
      <c r="AM183">
        <v>4</v>
      </c>
      <c r="AT183" t="s">
        <v>181</v>
      </c>
      <c r="AU183" t="s">
        <v>120</v>
      </c>
      <c r="AV183" t="s">
        <v>794</v>
      </c>
      <c r="BB183" t="s">
        <v>121</v>
      </c>
      <c r="BC183" t="s">
        <v>122</v>
      </c>
    </row>
    <row r="184" spans="1:58" x14ac:dyDescent="0.2">
      <c r="E184">
        <v>3</v>
      </c>
      <c r="F184" t="s">
        <v>287</v>
      </c>
      <c r="H184">
        <v>3</v>
      </c>
      <c r="I184">
        <v>2870</v>
      </c>
      <c r="J184">
        <v>3170</v>
      </c>
      <c r="K184">
        <v>2670</v>
      </c>
      <c r="O184">
        <v>21000</v>
      </c>
      <c r="R184">
        <v>41.399470000000001</v>
      </c>
      <c r="S184">
        <v>0.5</v>
      </c>
      <c r="T184">
        <v>-122.19732</v>
      </c>
      <c r="U184">
        <v>0</v>
      </c>
      <c r="AA184">
        <v>64</v>
      </c>
      <c r="AB184" t="b">
        <v>1</v>
      </c>
      <c r="AE184">
        <v>0</v>
      </c>
      <c r="AJ184" t="s">
        <v>179</v>
      </c>
      <c r="AM184">
        <v>4</v>
      </c>
      <c r="AT184" t="s">
        <v>182</v>
      </c>
      <c r="AU184" t="s">
        <v>137</v>
      </c>
      <c r="AV184" t="s">
        <v>795</v>
      </c>
      <c r="AW184">
        <v>41.262720000000002</v>
      </c>
      <c r="AX184">
        <v>-122.05298999999999</v>
      </c>
      <c r="AY184">
        <v>41.399470000000001</v>
      </c>
      <c r="AZ184">
        <v>-122.19732</v>
      </c>
      <c r="BB184" t="s">
        <v>167</v>
      </c>
      <c r="BC184" t="s">
        <v>122</v>
      </c>
      <c r="BD184">
        <v>838000</v>
      </c>
      <c r="BE184">
        <v>853000</v>
      </c>
      <c r="BF184">
        <v>822000</v>
      </c>
    </row>
    <row r="185" spans="1:58" x14ac:dyDescent="0.2">
      <c r="E185">
        <v>292</v>
      </c>
      <c r="F185" t="s">
        <v>267</v>
      </c>
      <c r="H185">
        <v>292</v>
      </c>
      <c r="R185">
        <v>46.181800000000003</v>
      </c>
      <c r="S185">
        <v>1</v>
      </c>
      <c r="T185">
        <v>-122.1177</v>
      </c>
      <c r="U185">
        <v>0</v>
      </c>
      <c r="AA185">
        <v>55</v>
      </c>
      <c r="AB185" t="b">
        <v>1</v>
      </c>
      <c r="AE185">
        <v>0</v>
      </c>
      <c r="AI185" t="b">
        <v>0</v>
      </c>
      <c r="AJ185" t="s">
        <v>576</v>
      </c>
      <c r="AM185">
        <v>2</v>
      </c>
      <c r="AT185" t="s">
        <v>577</v>
      </c>
      <c r="AU185" t="s">
        <v>120</v>
      </c>
      <c r="AV185" t="s">
        <v>575</v>
      </c>
      <c r="BB185" t="s">
        <v>374</v>
      </c>
      <c r="BC185" t="s">
        <v>375</v>
      </c>
    </row>
    <row r="186" spans="1:58" x14ac:dyDescent="0.2">
      <c r="E186">
        <v>276</v>
      </c>
      <c r="F186" t="s">
        <v>267</v>
      </c>
      <c r="H186">
        <v>276</v>
      </c>
      <c r="R186">
        <v>35.26</v>
      </c>
      <c r="S186">
        <v>0</v>
      </c>
      <c r="T186">
        <v>-111.62291999999999</v>
      </c>
      <c r="U186">
        <v>0</v>
      </c>
      <c r="Y186">
        <v>2</v>
      </c>
      <c r="Z186">
        <v>1</v>
      </c>
      <c r="AA186">
        <v>2</v>
      </c>
      <c r="AB186" t="b">
        <v>1</v>
      </c>
      <c r="AE186">
        <v>0</v>
      </c>
      <c r="AJ186" t="s">
        <v>183</v>
      </c>
      <c r="AK186" t="s">
        <v>95</v>
      </c>
      <c r="AM186">
        <v>5</v>
      </c>
      <c r="AO186">
        <v>3</v>
      </c>
      <c r="AP186">
        <v>6</v>
      </c>
      <c r="AT186" t="s">
        <v>184</v>
      </c>
      <c r="AU186" t="s">
        <v>120</v>
      </c>
      <c r="AV186" t="s">
        <v>811</v>
      </c>
      <c r="BB186" t="s">
        <v>121</v>
      </c>
      <c r="BC186" t="s">
        <v>122</v>
      </c>
    </row>
    <row r="187" spans="1:58" x14ac:dyDescent="0.2">
      <c r="E187">
        <v>171</v>
      </c>
      <c r="F187" t="s">
        <v>267</v>
      </c>
      <c r="H187">
        <v>171</v>
      </c>
      <c r="I187">
        <v>1500</v>
      </c>
      <c r="R187">
        <v>45.370699999999999</v>
      </c>
      <c r="S187">
        <v>0.5</v>
      </c>
      <c r="T187">
        <v>-121.69280000000001</v>
      </c>
      <c r="U187">
        <v>0</v>
      </c>
      <c r="AA187">
        <v>33</v>
      </c>
      <c r="AB187" t="b">
        <v>1</v>
      </c>
      <c r="AE187">
        <v>0</v>
      </c>
      <c r="AG187">
        <v>0</v>
      </c>
      <c r="AI187" t="b">
        <v>0</v>
      </c>
      <c r="AJ187" t="s">
        <v>960</v>
      </c>
      <c r="AM187">
        <v>2</v>
      </c>
      <c r="AT187" t="s">
        <v>961</v>
      </c>
      <c r="AU187" t="s">
        <v>143</v>
      </c>
      <c r="AV187" t="s">
        <v>959</v>
      </c>
      <c r="BB187" t="s">
        <v>374</v>
      </c>
      <c r="BC187" t="s">
        <v>375</v>
      </c>
    </row>
    <row r="188" spans="1:58" x14ac:dyDescent="0.2">
      <c r="A188">
        <v>49000</v>
      </c>
      <c r="B188">
        <v>61000</v>
      </c>
      <c r="C188">
        <v>49000</v>
      </c>
      <c r="D188">
        <v>230000</v>
      </c>
      <c r="E188">
        <v>34</v>
      </c>
      <c r="F188" t="s">
        <v>267</v>
      </c>
      <c r="H188">
        <v>34</v>
      </c>
      <c r="I188">
        <v>200</v>
      </c>
      <c r="J188">
        <v>220</v>
      </c>
      <c r="K188">
        <v>180</v>
      </c>
      <c r="O188">
        <v>680</v>
      </c>
      <c r="P188">
        <v>700</v>
      </c>
      <c r="Q188">
        <v>660</v>
      </c>
      <c r="R188">
        <v>46.816659999999999</v>
      </c>
      <c r="S188">
        <v>0</v>
      </c>
      <c r="T188">
        <v>-120.91528</v>
      </c>
      <c r="U188">
        <v>2</v>
      </c>
      <c r="AA188">
        <v>30</v>
      </c>
      <c r="AB188" t="b">
        <v>1</v>
      </c>
      <c r="AE188">
        <v>92</v>
      </c>
      <c r="AF188" t="b">
        <v>1</v>
      </c>
      <c r="AJ188" t="s">
        <v>710</v>
      </c>
      <c r="AM188">
        <v>4</v>
      </c>
      <c r="AT188" t="s">
        <v>711</v>
      </c>
      <c r="AU188" t="s">
        <v>137</v>
      </c>
      <c r="AV188" t="s">
        <v>709</v>
      </c>
      <c r="AW188">
        <v>46.812489999999997</v>
      </c>
      <c r="AX188">
        <v>-120.92046999999999</v>
      </c>
      <c r="AY188">
        <v>46.816659999999999</v>
      </c>
      <c r="AZ188">
        <v>-120.91528</v>
      </c>
      <c r="BB188" t="s">
        <v>303</v>
      </c>
      <c r="BC188" t="s">
        <v>134</v>
      </c>
      <c r="BD188">
        <v>960000</v>
      </c>
      <c r="BE188">
        <v>1300000</v>
      </c>
      <c r="BF188">
        <v>740000</v>
      </c>
    </row>
    <row r="189" spans="1:58" x14ac:dyDescent="0.2">
      <c r="A189">
        <v>12000</v>
      </c>
      <c r="B189">
        <v>20000</v>
      </c>
      <c r="C189">
        <v>12000</v>
      </c>
      <c r="D189">
        <v>82000</v>
      </c>
      <c r="E189">
        <v>33</v>
      </c>
      <c r="F189" t="s">
        <v>267</v>
      </c>
      <c r="H189">
        <v>33</v>
      </c>
      <c r="I189">
        <v>120</v>
      </c>
      <c r="J189">
        <v>140</v>
      </c>
      <c r="K189">
        <v>100</v>
      </c>
      <c r="O189">
        <v>400</v>
      </c>
      <c r="P189">
        <v>420</v>
      </c>
      <c r="Q189">
        <v>380</v>
      </c>
      <c r="R189">
        <v>46.816769999999998</v>
      </c>
      <c r="S189">
        <v>0</v>
      </c>
      <c r="T189">
        <v>-120.92045</v>
      </c>
      <c r="U189">
        <v>0</v>
      </c>
      <c r="AA189">
        <v>47</v>
      </c>
      <c r="AB189" t="b">
        <v>1</v>
      </c>
      <c r="AE189">
        <v>0</v>
      </c>
      <c r="AJ189" t="s">
        <v>725</v>
      </c>
      <c r="AM189">
        <v>4</v>
      </c>
      <c r="AT189" t="s">
        <v>726</v>
      </c>
      <c r="AU189" t="s">
        <v>137</v>
      </c>
      <c r="AV189" t="s">
        <v>724</v>
      </c>
      <c r="AW189">
        <v>46.814480000000003</v>
      </c>
      <c r="AX189">
        <v>-120.92409000000001</v>
      </c>
      <c r="AY189">
        <v>46.816769999999998</v>
      </c>
      <c r="AZ189">
        <v>-120.92045</v>
      </c>
      <c r="BB189" t="s">
        <v>303</v>
      </c>
      <c r="BC189" t="s">
        <v>134</v>
      </c>
      <c r="BD189">
        <v>130000</v>
      </c>
      <c r="BE189">
        <v>180000</v>
      </c>
      <c r="BF189">
        <v>99000</v>
      </c>
    </row>
    <row r="190" spans="1:58" x14ac:dyDescent="0.2">
      <c r="E190">
        <v>83</v>
      </c>
      <c r="F190" t="s">
        <v>267</v>
      </c>
      <c r="H190">
        <v>83</v>
      </c>
      <c r="R190">
        <v>46.844619999999999</v>
      </c>
      <c r="S190">
        <v>0</v>
      </c>
      <c r="T190">
        <v>-121.75226000000001</v>
      </c>
      <c r="U190">
        <v>0</v>
      </c>
      <c r="AA190">
        <v>99</v>
      </c>
      <c r="AB190" t="b">
        <v>1</v>
      </c>
      <c r="AE190">
        <v>0</v>
      </c>
      <c r="AJ190" t="s">
        <v>786</v>
      </c>
      <c r="AM190">
        <v>4</v>
      </c>
      <c r="AT190" t="s">
        <v>787</v>
      </c>
      <c r="AU190" t="s">
        <v>137</v>
      </c>
      <c r="AV190" t="s">
        <v>785</v>
      </c>
      <c r="AW190">
        <v>46.82047</v>
      </c>
      <c r="AX190">
        <v>-121.73793999999999</v>
      </c>
      <c r="AY190">
        <v>46.844619999999999</v>
      </c>
      <c r="AZ190">
        <v>-121.75226000000001</v>
      </c>
      <c r="BB190" t="s">
        <v>405</v>
      </c>
      <c r="BC190" t="s">
        <v>134</v>
      </c>
      <c r="BD190">
        <v>68000</v>
      </c>
      <c r="BE190">
        <v>96000</v>
      </c>
      <c r="BF190">
        <v>49000</v>
      </c>
    </row>
    <row r="191" spans="1:58" x14ac:dyDescent="0.2">
      <c r="E191">
        <v>120</v>
      </c>
      <c r="F191" t="s">
        <v>267</v>
      </c>
      <c r="H191">
        <v>120</v>
      </c>
      <c r="R191">
        <v>46.843000000000004</v>
      </c>
      <c r="S191">
        <v>0.2</v>
      </c>
      <c r="T191">
        <v>-121.75</v>
      </c>
      <c r="U191">
        <v>0</v>
      </c>
      <c r="AA191">
        <v>100</v>
      </c>
      <c r="AB191" t="b">
        <v>1</v>
      </c>
      <c r="AE191">
        <v>0</v>
      </c>
      <c r="AJ191" t="s">
        <v>506</v>
      </c>
      <c r="AM191">
        <v>4</v>
      </c>
      <c r="AT191" t="s">
        <v>507</v>
      </c>
      <c r="AU191" t="s">
        <v>137</v>
      </c>
      <c r="AV191" t="s">
        <v>505</v>
      </c>
      <c r="AW191">
        <v>46.820500000000003</v>
      </c>
      <c r="AX191">
        <v>-121.7379</v>
      </c>
      <c r="AY191">
        <v>46.843000000000004</v>
      </c>
      <c r="AZ191">
        <v>-121.75</v>
      </c>
      <c r="BB191" t="s">
        <v>405</v>
      </c>
      <c r="BC191" t="s">
        <v>134</v>
      </c>
      <c r="BD191">
        <v>71000</v>
      </c>
      <c r="BE191">
        <v>100000</v>
      </c>
      <c r="BF191">
        <v>52000</v>
      </c>
    </row>
    <row r="192" spans="1:58" x14ac:dyDescent="0.2">
      <c r="A192">
        <v>50000</v>
      </c>
      <c r="B192">
        <v>75000</v>
      </c>
      <c r="C192">
        <v>45000</v>
      </c>
      <c r="D192">
        <v>550000</v>
      </c>
      <c r="E192">
        <v>25</v>
      </c>
      <c r="F192" t="s">
        <v>267</v>
      </c>
      <c r="H192">
        <v>25</v>
      </c>
      <c r="R192">
        <v>46.843000000000004</v>
      </c>
      <c r="S192">
        <v>0.2</v>
      </c>
      <c r="T192">
        <v>-121.75</v>
      </c>
      <c r="U192">
        <v>0</v>
      </c>
      <c r="AA192">
        <v>133</v>
      </c>
      <c r="AB192" t="b">
        <v>1</v>
      </c>
      <c r="AE192">
        <v>0</v>
      </c>
      <c r="AJ192" t="s">
        <v>846</v>
      </c>
      <c r="AM192">
        <v>4</v>
      </c>
      <c r="AT192" t="s">
        <v>847</v>
      </c>
      <c r="AU192" t="s">
        <v>137</v>
      </c>
      <c r="AV192" t="s">
        <v>845</v>
      </c>
      <c r="AW192">
        <v>46.820500000000003</v>
      </c>
      <c r="AX192">
        <v>-121.7379</v>
      </c>
      <c r="AY192">
        <v>46.843000000000004</v>
      </c>
      <c r="AZ192">
        <v>-121.75</v>
      </c>
      <c r="BB192" t="s">
        <v>405</v>
      </c>
      <c r="BC192" t="s">
        <v>134</v>
      </c>
      <c r="BD192">
        <v>37000</v>
      </c>
      <c r="BE192">
        <v>53000</v>
      </c>
      <c r="BF192">
        <v>27000</v>
      </c>
    </row>
    <row r="193" spans="4:58" x14ac:dyDescent="0.2">
      <c r="E193">
        <v>26</v>
      </c>
      <c r="F193" t="s">
        <v>267</v>
      </c>
      <c r="H193">
        <v>26</v>
      </c>
      <c r="R193">
        <v>46.843000000000004</v>
      </c>
      <c r="S193">
        <v>0.2</v>
      </c>
      <c r="T193">
        <v>-121.75</v>
      </c>
      <c r="U193">
        <v>0</v>
      </c>
      <c r="AA193">
        <v>217</v>
      </c>
      <c r="AB193" t="b">
        <v>1</v>
      </c>
      <c r="AE193">
        <v>0</v>
      </c>
      <c r="AJ193" t="s">
        <v>806</v>
      </c>
      <c r="AM193">
        <v>4</v>
      </c>
      <c r="AT193" t="s">
        <v>807</v>
      </c>
      <c r="AU193" t="s">
        <v>137</v>
      </c>
      <c r="AV193" t="s">
        <v>805</v>
      </c>
      <c r="AW193">
        <v>46.820500000000003</v>
      </c>
      <c r="AX193">
        <v>-121.7379</v>
      </c>
      <c r="AY193">
        <v>46.843000000000004</v>
      </c>
      <c r="AZ193">
        <v>-121.75</v>
      </c>
      <c r="BB193" t="s">
        <v>405</v>
      </c>
      <c r="BC193" t="s">
        <v>134</v>
      </c>
      <c r="BD193">
        <v>110000</v>
      </c>
      <c r="BE193">
        <v>150000</v>
      </c>
      <c r="BF193">
        <v>78000</v>
      </c>
    </row>
    <row r="194" spans="4:58" x14ac:dyDescent="0.2">
      <c r="E194">
        <v>27</v>
      </c>
      <c r="F194" t="s">
        <v>267</v>
      </c>
      <c r="H194">
        <v>27</v>
      </c>
      <c r="R194">
        <v>46.843000000000004</v>
      </c>
      <c r="S194">
        <v>0.2</v>
      </c>
      <c r="T194">
        <v>-121.75</v>
      </c>
      <c r="U194">
        <v>0</v>
      </c>
      <c r="AA194">
        <v>133</v>
      </c>
      <c r="AB194" t="b">
        <v>1</v>
      </c>
      <c r="AE194">
        <v>0</v>
      </c>
      <c r="AJ194" t="s">
        <v>560</v>
      </c>
      <c r="AM194">
        <v>4</v>
      </c>
      <c r="AT194" t="s">
        <v>561</v>
      </c>
      <c r="AU194" t="s">
        <v>137</v>
      </c>
      <c r="AV194" t="s">
        <v>559</v>
      </c>
      <c r="AW194">
        <v>46.820500000000003</v>
      </c>
      <c r="AX194">
        <v>-121.7379</v>
      </c>
      <c r="AY194">
        <v>46.843000000000004</v>
      </c>
      <c r="AZ194">
        <v>-121.75</v>
      </c>
      <c r="BB194" t="s">
        <v>405</v>
      </c>
      <c r="BC194" t="s">
        <v>134</v>
      </c>
      <c r="BD194">
        <v>37000</v>
      </c>
      <c r="BE194">
        <v>52000</v>
      </c>
      <c r="BF194">
        <v>27000</v>
      </c>
    </row>
    <row r="195" spans="4:58" x14ac:dyDescent="0.2">
      <c r="E195">
        <v>28</v>
      </c>
      <c r="F195" t="s">
        <v>267</v>
      </c>
      <c r="H195">
        <v>28</v>
      </c>
      <c r="I195">
        <v>1650</v>
      </c>
      <c r="O195">
        <v>3000</v>
      </c>
      <c r="R195">
        <v>46.843000000000004</v>
      </c>
      <c r="S195">
        <v>0.2</v>
      </c>
      <c r="T195">
        <v>-121.75</v>
      </c>
      <c r="U195">
        <v>0</v>
      </c>
      <c r="AA195">
        <v>220</v>
      </c>
      <c r="AB195" t="b">
        <v>1</v>
      </c>
      <c r="AE195">
        <v>0</v>
      </c>
      <c r="AJ195" t="s">
        <v>707</v>
      </c>
      <c r="AM195">
        <v>4</v>
      </c>
      <c r="AT195" t="s">
        <v>708</v>
      </c>
      <c r="AU195" t="s">
        <v>137</v>
      </c>
      <c r="AV195" t="s">
        <v>706</v>
      </c>
      <c r="AW195">
        <v>46.820500000000003</v>
      </c>
      <c r="AX195">
        <v>-121.7379</v>
      </c>
      <c r="AY195">
        <v>46.843000000000004</v>
      </c>
      <c r="AZ195">
        <v>-121.75</v>
      </c>
      <c r="BB195" t="s">
        <v>405</v>
      </c>
      <c r="BC195" t="s">
        <v>134</v>
      </c>
      <c r="BD195">
        <v>160000</v>
      </c>
      <c r="BE195">
        <v>230000</v>
      </c>
      <c r="BF195">
        <v>120000</v>
      </c>
    </row>
    <row r="196" spans="4:58" x14ac:dyDescent="0.2">
      <c r="E196">
        <v>118</v>
      </c>
      <c r="F196" t="s">
        <v>267</v>
      </c>
      <c r="H196">
        <v>118</v>
      </c>
      <c r="R196">
        <v>46.843000000000004</v>
      </c>
      <c r="S196">
        <v>0.2</v>
      </c>
      <c r="T196">
        <v>-121.75</v>
      </c>
      <c r="U196">
        <v>0</v>
      </c>
      <c r="AA196">
        <v>13</v>
      </c>
      <c r="AB196" t="b">
        <v>1</v>
      </c>
      <c r="AE196">
        <v>0</v>
      </c>
      <c r="AJ196" t="s">
        <v>403</v>
      </c>
      <c r="AM196">
        <v>4</v>
      </c>
      <c r="AT196" t="s">
        <v>404</v>
      </c>
      <c r="AU196" t="s">
        <v>137</v>
      </c>
      <c r="AV196" t="s">
        <v>402</v>
      </c>
      <c r="AW196">
        <v>46.820500000000003</v>
      </c>
      <c r="AX196">
        <v>-121.7379</v>
      </c>
      <c r="AY196">
        <v>46.843000000000004</v>
      </c>
      <c r="AZ196">
        <v>-121.75</v>
      </c>
      <c r="BB196" t="s">
        <v>405</v>
      </c>
      <c r="BC196" t="s">
        <v>134</v>
      </c>
      <c r="BD196">
        <v>12000</v>
      </c>
      <c r="BE196">
        <v>17000</v>
      </c>
      <c r="BF196">
        <v>8600</v>
      </c>
    </row>
    <row r="197" spans="4:58" x14ac:dyDescent="0.2">
      <c r="E197">
        <v>29</v>
      </c>
      <c r="F197" t="s">
        <v>267</v>
      </c>
      <c r="H197">
        <v>29</v>
      </c>
      <c r="R197">
        <v>46.843000000000004</v>
      </c>
      <c r="S197">
        <v>0.2</v>
      </c>
      <c r="T197">
        <v>-121.75</v>
      </c>
      <c r="U197">
        <v>0</v>
      </c>
      <c r="AA197">
        <v>216</v>
      </c>
      <c r="AB197" t="b">
        <v>1</v>
      </c>
      <c r="AE197">
        <v>0</v>
      </c>
      <c r="AJ197" t="s">
        <v>420</v>
      </c>
      <c r="AM197">
        <v>4</v>
      </c>
      <c r="AT197" t="s">
        <v>421</v>
      </c>
      <c r="AU197" t="s">
        <v>137</v>
      </c>
      <c r="AV197" t="s">
        <v>419</v>
      </c>
      <c r="AW197">
        <v>46.820500000000003</v>
      </c>
      <c r="AX197">
        <v>-121.7379</v>
      </c>
      <c r="AY197">
        <v>46.843000000000004</v>
      </c>
      <c r="AZ197">
        <v>-121.75</v>
      </c>
      <c r="BB197" t="s">
        <v>405</v>
      </c>
      <c r="BC197" t="s">
        <v>134</v>
      </c>
      <c r="BD197">
        <v>160000</v>
      </c>
      <c r="BE197">
        <v>230000</v>
      </c>
      <c r="BF197">
        <v>120000</v>
      </c>
    </row>
    <row r="198" spans="4:58" x14ac:dyDescent="0.2">
      <c r="E198">
        <v>119</v>
      </c>
      <c r="F198" t="s">
        <v>267</v>
      </c>
      <c r="H198">
        <v>119</v>
      </c>
      <c r="R198">
        <v>46.843000000000004</v>
      </c>
      <c r="S198">
        <v>0.2</v>
      </c>
      <c r="T198">
        <v>-121.75</v>
      </c>
      <c r="U198">
        <v>0</v>
      </c>
      <c r="AA198">
        <v>13</v>
      </c>
      <c r="AB198" t="b">
        <v>1</v>
      </c>
      <c r="AE198">
        <v>0</v>
      </c>
      <c r="AJ198" t="s">
        <v>1040</v>
      </c>
      <c r="AM198">
        <v>4</v>
      </c>
      <c r="AT198" t="s">
        <v>1041</v>
      </c>
      <c r="AU198" t="s">
        <v>137</v>
      </c>
      <c r="AV198" t="s">
        <v>1039</v>
      </c>
      <c r="AW198">
        <v>46.820500000000003</v>
      </c>
      <c r="AX198">
        <v>-121.7379</v>
      </c>
      <c r="AY198">
        <v>46.843000000000004</v>
      </c>
      <c r="AZ198">
        <v>-121.75</v>
      </c>
      <c r="BB198" t="s">
        <v>405</v>
      </c>
      <c r="BC198" t="s">
        <v>134</v>
      </c>
      <c r="BD198">
        <v>16000</v>
      </c>
      <c r="BE198">
        <v>22000</v>
      </c>
      <c r="BF198">
        <v>11000</v>
      </c>
    </row>
    <row r="199" spans="4:58" x14ac:dyDescent="0.2">
      <c r="E199">
        <v>30</v>
      </c>
      <c r="F199" t="s">
        <v>267</v>
      </c>
      <c r="H199">
        <v>30</v>
      </c>
      <c r="R199">
        <v>46.843000000000004</v>
      </c>
      <c r="S199">
        <v>0.2</v>
      </c>
      <c r="T199">
        <v>-121.75</v>
      </c>
      <c r="U199">
        <v>0</v>
      </c>
      <c r="AA199">
        <v>115</v>
      </c>
      <c r="AB199" t="b">
        <v>1</v>
      </c>
      <c r="AE199">
        <v>0</v>
      </c>
      <c r="AJ199" t="s">
        <v>479</v>
      </c>
      <c r="AM199">
        <v>4</v>
      </c>
      <c r="AT199" t="s">
        <v>480</v>
      </c>
      <c r="AU199" t="s">
        <v>137</v>
      </c>
      <c r="AV199" t="s">
        <v>478</v>
      </c>
      <c r="AW199">
        <v>46.820500000000003</v>
      </c>
      <c r="AX199">
        <v>-121.7379</v>
      </c>
      <c r="AY199">
        <v>46.843000000000004</v>
      </c>
      <c r="AZ199">
        <v>-121.75</v>
      </c>
      <c r="BB199" t="s">
        <v>405</v>
      </c>
      <c r="BC199" t="s">
        <v>134</v>
      </c>
      <c r="BD199">
        <v>15000</v>
      </c>
      <c r="BE199">
        <v>21000</v>
      </c>
      <c r="BF199">
        <v>11000</v>
      </c>
    </row>
    <row r="200" spans="4:58" x14ac:dyDescent="0.2">
      <c r="E200">
        <v>290</v>
      </c>
      <c r="F200" t="s">
        <v>267</v>
      </c>
      <c r="H200">
        <v>290</v>
      </c>
      <c r="R200">
        <v>46.843499999999999</v>
      </c>
      <c r="S200">
        <v>0.1</v>
      </c>
      <c r="T200">
        <v>-121.7478</v>
      </c>
      <c r="U200">
        <v>0</v>
      </c>
      <c r="AA200">
        <v>18</v>
      </c>
      <c r="AB200" t="b">
        <v>1</v>
      </c>
      <c r="AE200">
        <v>0</v>
      </c>
      <c r="AI200" t="b">
        <v>0</v>
      </c>
      <c r="AJ200" t="s">
        <v>716</v>
      </c>
      <c r="AM200">
        <v>4</v>
      </c>
      <c r="AT200" t="s">
        <v>717</v>
      </c>
      <c r="AU200" t="s">
        <v>120</v>
      </c>
      <c r="AV200" t="s">
        <v>715</v>
      </c>
      <c r="BB200" t="s">
        <v>588</v>
      </c>
      <c r="BC200" t="s">
        <v>191</v>
      </c>
    </row>
    <row r="201" spans="4:58" x14ac:dyDescent="0.2">
      <c r="E201">
        <v>291</v>
      </c>
      <c r="F201" t="s">
        <v>267</v>
      </c>
      <c r="H201">
        <v>291</v>
      </c>
      <c r="R201">
        <v>46.843499999999999</v>
      </c>
      <c r="S201">
        <v>0.1</v>
      </c>
      <c r="T201">
        <v>-121.7478</v>
      </c>
      <c r="U201">
        <v>0</v>
      </c>
      <c r="AA201">
        <v>18</v>
      </c>
      <c r="AB201" t="b">
        <v>1</v>
      </c>
      <c r="AE201">
        <v>0</v>
      </c>
      <c r="AI201" t="b">
        <v>0</v>
      </c>
      <c r="AJ201" t="s">
        <v>743</v>
      </c>
      <c r="AM201">
        <v>4</v>
      </c>
      <c r="AT201" t="s">
        <v>744</v>
      </c>
      <c r="AU201" t="s">
        <v>120</v>
      </c>
      <c r="AV201" t="s">
        <v>742</v>
      </c>
      <c r="BB201" t="s">
        <v>588</v>
      </c>
      <c r="BC201" t="s">
        <v>191</v>
      </c>
    </row>
    <row r="202" spans="4:58" x14ac:dyDescent="0.2">
      <c r="E202">
        <v>4</v>
      </c>
      <c r="F202" t="s">
        <v>267</v>
      </c>
      <c r="H202">
        <v>4</v>
      </c>
      <c r="K202">
        <v>900</v>
      </c>
      <c r="O202">
        <v>1900</v>
      </c>
      <c r="R202">
        <v>71.643749999999997</v>
      </c>
      <c r="S202">
        <v>0</v>
      </c>
      <c r="T202">
        <v>-52.328780000000002</v>
      </c>
      <c r="U202">
        <v>1</v>
      </c>
      <c r="AA202">
        <v>1100</v>
      </c>
      <c r="AB202" t="b">
        <v>0</v>
      </c>
      <c r="AE202">
        <v>1100</v>
      </c>
      <c r="AF202" t="b">
        <v>0</v>
      </c>
      <c r="AJ202" t="s">
        <v>998</v>
      </c>
      <c r="AM202">
        <v>4</v>
      </c>
      <c r="AT202" t="s">
        <v>999</v>
      </c>
      <c r="AU202" t="s">
        <v>137</v>
      </c>
      <c r="AV202" t="s">
        <v>997</v>
      </c>
      <c r="AY202">
        <v>71.643749999999997</v>
      </c>
      <c r="AZ202">
        <v>-52.328780000000002</v>
      </c>
      <c r="BB202" t="s">
        <v>280</v>
      </c>
      <c r="BC202" t="s">
        <v>134</v>
      </c>
      <c r="BD202">
        <v>43000000</v>
      </c>
      <c r="BE202">
        <v>51000000</v>
      </c>
      <c r="BF202">
        <v>33400000</v>
      </c>
    </row>
    <row r="203" spans="4:58" x14ac:dyDescent="0.2">
      <c r="E203">
        <v>146</v>
      </c>
      <c r="F203" t="s">
        <v>386</v>
      </c>
      <c r="H203">
        <v>146</v>
      </c>
      <c r="K203">
        <v>2200</v>
      </c>
      <c r="O203">
        <v>8000</v>
      </c>
      <c r="R203">
        <v>14.59516</v>
      </c>
      <c r="S203">
        <v>1</v>
      </c>
      <c r="T203">
        <v>144.77154999999999</v>
      </c>
      <c r="U203">
        <v>1</v>
      </c>
      <c r="AA203">
        <v>126</v>
      </c>
      <c r="AB203" t="b">
        <v>0</v>
      </c>
      <c r="AE203">
        <v>126</v>
      </c>
      <c r="AF203" t="b">
        <v>0</v>
      </c>
      <c r="AJ203" t="s">
        <v>388</v>
      </c>
      <c r="AL203" s="7"/>
      <c r="AM203">
        <v>5</v>
      </c>
      <c r="AT203" t="s">
        <v>389</v>
      </c>
      <c r="AU203" t="s">
        <v>143</v>
      </c>
      <c r="AV203" t="s">
        <v>387</v>
      </c>
      <c r="BB203" t="s">
        <v>390</v>
      </c>
      <c r="BC203" t="s">
        <v>134</v>
      </c>
      <c r="BE203">
        <v>53000000</v>
      </c>
    </row>
    <row r="204" spans="4:58" x14ac:dyDescent="0.2">
      <c r="E204">
        <v>189</v>
      </c>
      <c r="F204" t="s">
        <v>287</v>
      </c>
      <c r="H204">
        <v>189</v>
      </c>
      <c r="R204">
        <v>58.735999999999997</v>
      </c>
      <c r="S204">
        <v>2.6</v>
      </c>
      <c r="T204">
        <v>-137.27199999999999</v>
      </c>
      <c r="U204">
        <v>1</v>
      </c>
      <c r="AA204">
        <v>500</v>
      </c>
      <c r="AB204" t="b">
        <v>0</v>
      </c>
      <c r="AE204">
        <v>500</v>
      </c>
      <c r="AF204" t="b">
        <v>0</v>
      </c>
      <c r="AJ204" t="s">
        <v>896</v>
      </c>
      <c r="AM204">
        <v>3</v>
      </c>
      <c r="AT204" t="s">
        <v>897</v>
      </c>
      <c r="AU204" t="s">
        <v>143</v>
      </c>
      <c r="AV204" t="s">
        <v>895</v>
      </c>
      <c r="BB204" t="s">
        <v>280</v>
      </c>
      <c r="BC204" t="s">
        <v>134</v>
      </c>
    </row>
    <row r="205" spans="4:58" x14ac:dyDescent="0.2">
      <c r="D205">
        <v>980000</v>
      </c>
      <c r="E205">
        <v>12</v>
      </c>
      <c r="F205" t="s">
        <v>466</v>
      </c>
      <c r="H205">
        <v>12</v>
      </c>
      <c r="I205">
        <v>180</v>
      </c>
      <c r="O205">
        <v>1700</v>
      </c>
      <c r="R205">
        <v>48.28631</v>
      </c>
      <c r="S205">
        <v>0</v>
      </c>
      <c r="T205">
        <v>-121.85259000000001</v>
      </c>
      <c r="U205">
        <v>1</v>
      </c>
      <c r="V205">
        <v>16600000000</v>
      </c>
      <c r="W205">
        <v>18400000000</v>
      </c>
      <c r="X205">
        <v>14600000000</v>
      </c>
      <c r="AA205">
        <v>274</v>
      </c>
      <c r="AB205" t="b">
        <v>1</v>
      </c>
      <c r="AE205">
        <v>351</v>
      </c>
      <c r="AF205" t="b">
        <v>1</v>
      </c>
      <c r="AJ205" t="s">
        <v>185</v>
      </c>
      <c r="AM205">
        <v>5</v>
      </c>
      <c r="AT205" t="s">
        <v>186</v>
      </c>
      <c r="AU205" t="s">
        <v>137</v>
      </c>
      <c r="AV205" t="s">
        <v>824</v>
      </c>
      <c r="AW205">
        <v>48.274140000000003</v>
      </c>
      <c r="AX205">
        <v>-121.84141</v>
      </c>
      <c r="AY205">
        <v>48.28631</v>
      </c>
      <c r="AZ205">
        <v>-121.85259000000001</v>
      </c>
      <c r="BB205" t="s">
        <v>187</v>
      </c>
      <c r="BC205" t="s">
        <v>134</v>
      </c>
      <c r="BD205">
        <v>8300000</v>
      </c>
      <c r="BE205">
        <v>9200000</v>
      </c>
      <c r="BF205">
        <v>7300000</v>
      </c>
    </row>
    <row r="206" spans="4:58" x14ac:dyDescent="0.2">
      <c r="E206">
        <v>107</v>
      </c>
      <c r="F206" t="s">
        <v>267</v>
      </c>
      <c r="H206">
        <v>107</v>
      </c>
      <c r="I206">
        <v>40</v>
      </c>
      <c r="J206">
        <v>60</v>
      </c>
      <c r="K206">
        <v>20</v>
      </c>
      <c r="O206">
        <v>90</v>
      </c>
      <c r="P206">
        <v>110</v>
      </c>
      <c r="Q206">
        <v>70</v>
      </c>
      <c r="R206">
        <v>48.286630000000002</v>
      </c>
      <c r="S206">
        <v>0.05</v>
      </c>
      <c r="T206">
        <v>-121.85026000000001</v>
      </c>
      <c r="U206">
        <v>0</v>
      </c>
      <c r="AA206">
        <v>12</v>
      </c>
      <c r="AB206" t="b">
        <v>1</v>
      </c>
      <c r="AE206">
        <v>0</v>
      </c>
      <c r="AG206">
        <v>0</v>
      </c>
      <c r="AI206" t="b">
        <v>0</v>
      </c>
      <c r="AJ206" t="s">
        <v>188</v>
      </c>
      <c r="AM206">
        <v>3</v>
      </c>
      <c r="AT206" t="s">
        <v>189</v>
      </c>
      <c r="AU206" t="s">
        <v>137</v>
      </c>
      <c r="AV206" t="s">
        <v>865</v>
      </c>
      <c r="AW206">
        <v>48.28586</v>
      </c>
      <c r="AX206">
        <v>-121.85017000000001</v>
      </c>
      <c r="AY206">
        <v>48.286630000000002</v>
      </c>
      <c r="AZ206">
        <v>-121.85026000000001</v>
      </c>
      <c r="BB206" t="s">
        <v>190</v>
      </c>
      <c r="BC206" t="s">
        <v>191</v>
      </c>
      <c r="BD206">
        <v>800</v>
      </c>
      <c r="BE206">
        <v>2600</v>
      </c>
      <c r="BF206">
        <v>60</v>
      </c>
    </row>
    <row r="207" spans="4:58" x14ac:dyDescent="0.2">
      <c r="E207">
        <v>58</v>
      </c>
      <c r="F207" t="s">
        <v>267</v>
      </c>
      <c r="H207">
        <v>58</v>
      </c>
      <c r="I207">
        <v>70</v>
      </c>
      <c r="O207">
        <v>200</v>
      </c>
      <c r="R207">
        <v>48.2866</v>
      </c>
      <c r="S207">
        <v>0</v>
      </c>
      <c r="T207">
        <v>-121.85026000000001</v>
      </c>
      <c r="U207">
        <v>2</v>
      </c>
      <c r="AA207">
        <v>251</v>
      </c>
      <c r="AB207" t="b">
        <v>1</v>
      </c>
      <c r="AE207">
        <v>80</v>
      </c>
      <c r="AF207" t="b">
        <v>1</v>
      </c>
      <c r="AJ207" t="s">
        <v>192</v>
      </c>
      <c r="AM207">
        <v>5</v>
      </c>
      <c r="AT207" t="s">
        <v>195</v>
      </c>
      <c r="AU207" t="s">
        <v>137</v>
      </c>
      <c r="AV207" t="s">
        <v>878</v>
      </c>
      <c r="AW207">
        <v>48.285089999999997</v>
      </c>
      <c r="AX207">
        <v>-121.84967</v>
      </c>
      <c r="AY207">
        <v>48.2866</v>
      </c>
      <c r="AZ207">
        <v>-121.85026000000001</v>
      </c>
      <c r="BB207" t="s">
        <v>190</v>
      </c>
      <c r="BC207" t="s">
        <v>191</v>
      </c>
      <c r="BD207">
        <v>50000</v>
      </c>
      <c r="BE207">
        <v>1245000</v>
      </c>
      <c r="BF207">
        <v>10000</v>
      </c>
    </row>
    <row r="208" spans="4:58" x14ac:dyDescent="0.2">
      <c r="E208">
        <v>203</v>
      </c>
      <c r="F208" t="s">
        <v>316</v>
      </c>
      <c r="H208">
        <v>203</v>
      </c>
      <c r="R208">
        <v>44.84</v>
      </c>
      <c r="S208">
        <v>20</v>
      </c>
      <c r="T208">
        <v>6.6</v>
      </c>
      <c r="U208">
        <v>0</v>
      </c>
      <c r="AA208">
        <v>139</v>
      </c>
      <c r="AB208" t="b">
        <v>0</v>
      </c>
      <c r="AE208">
        <v>0</v>
      </c>
      <c r="AJ208" t="s">
        <v>826</v>
      </c>
      <c r="AM208">
        <v>1</v>
      </c>
      <c r="AT208" t="s">
        <v>827</v>
      </c>
      <c r="AU208" t="s">
        <v>143</v>
      </c>
      <c r="AV208" t="s">
        <v>825</v>
      </c>
      <c r="BB208" t="s">
        <v>280</v>
      </c>
      <c r="BC208" t="s">
        <v>134</v>
      </c>
    </row>
    <row r="209" spans="1:58" x14ac:dyDescent="0.2">
      <c r="E209">
        <v>248</v>
      </c>
      <c r="F209" t="s">
        <v>428</v>
      </c>
      <c r="H209">
        <v>248</v>
      </c>
      <c r="R209">
        <v>45.93244</v>
      </c>
      <c r="S209">
        <v>0.08</v>
      </c>
      <c r="T209">
        <v>6.95573</v>
      </c>
      <c r="U209">
        <v>0</v>
      </c>
      <c r="AA209">
        <v>287</v>
      </c>
      <c r="AB209" t="b">
        <v>0</v>
      </c>
      <c r="AE209">
        <v>0</v>
      </c>
      <c r="AJ209" t="s">
        <v>430</v>
      </c>
      <c r="AM209">
        <v>3</v>
      </c>
      <c r="AT209" t="s">
        <v>431</v>
      </c>
      <c r="AU209" t="s">
        <v>143</v>
      </c>
      <c r="AV209" t="s">
        <v>429</v>
      </c>
      <c r="BB209" t="s">
        <v>312</v>
      </c>
      <c r="BC209" t="s">
        <v>191</v>
      </c>
    </row>
    <row r="210" spans="1:58" x14ac:dyDescent="0.2">
      <c r="E210">
        <v>249</v>
      </c>
      <c r="F210" t="s">
        <v>886</v>
      </c>
      <c r="H210">
        <v>249</v>
      </c>
      <c r="R210">
        <v>45.93244</v>
      </c>
      <c r="S210">
        <v>0.08</v>
      </c>
      <c r="T210">
        <v>6.95573</v>
      </c>
      <c r="U210">
        <v>0</v>
      </c>
      <c r="AA210">
        <v>97</v>
      </c>
      <c r="AB210" t="b">
        <v>0</v>
      </c>
      <c r="AE210">
        <v>0</v>
      </c>
      <c r="AJ210" t="s">
        <v>888</v>
      </c>
      <c r="AM210">
        <v>3</v>
      </c>
      <c r="AT210" t="s">
        <v>889</v>
      </c>
      <c r="AU210" t="s">
        <v>143</v>
      </c>
      <c r="AV210" t="s">
        <v>887</v>
      </c>
      <c r="BB210" t="s">
        <v>312</v>
      </c>
      <c r="BC210" t="s">
        <v>191</v>
      </c>
    </row>
    <row r="211" spans="1:58" x14ac:dyDescent="0.2">
      <c r="E211">
        <v>207</v>
      </c>
      <c r="F211" t="s">
        <v>948</v>
      </c>
      <c r="H211">
        <v>207</v>
      </c>
      <c r="O211">
        <v>2700</v>
      </c>
      <c r="R211">
        <v>46.295000000000002</v>
      </c>
      <c r="S211">
        <v>0</v>
      </c>
      <c r="T211">
        <v>9.6020000000000003</v>
      </c>
      <c r="U211">
        <v>0</v>
      </c>
      <c r="AA211">
        <v>518</v>
      </c>
      <c r="AB211" t="b">
        <v>0</v>
      </c>
      <c r="AE211">
        <v>0</v>
      </c>
      <c r="AJ211" t="s">
        <v>950</v>
      </c>
      <c r="AM211">
        <v>3</v>
      </c>
      <c r="AT211" t="s">
        <v>951</v>
      </c>
      <c r="AU211" t="s">
        <v>143</v>
      </c>
      <c r="AV211" t="s">
        <v>949</v>
      </c>
      <c r="BB211" t="s">
        <v>284</v>
      </c>
      <c r="BC211" t="s">
        <v>134</v>
      </c>
      <c r="BD211">
        <v>1500000</v>
      </c>
      <c r="BE211">
        <v>2000000</v>
      </c>
      <c r="BF211">
        <v>1000000</v>
      </c>
    </row>
    <row r="212" spans="1:58" x14ac:dyDescent="0.2">
      <c r="E212">
        <v>192</v>
      </c>
      <c r="F212" t="s">
        <v>831</v>
      </c>
      <c r="H212">
        <v>192</v>
      </c>
      <c r="I212">
        <v>1700</v>
      </c>
      <c r="O212">
        <v>3200</v>
      </c>
      <c r="R212">
        <v>46.295520000000003</v>
      </c>
      <c r="S212">
        <v>0</v>
      </c>
      <c r="T212">
        <v>9.6019000000000005</v>
      </c>
      <c r="U212">
        <v>1</v>
      </c>
      <c r="AA212">
        <v>706</v>
      </c>
      <c r="AB212" t="b">
        <v>0</v>
      </c>
      <c r="AE212">
        <v>500</v>
      </c>
      <c r="AF212" t="b">
        <v>0</v>
      </c>
      <c r="AJ212" t="s">
        <v>833</v>
      </c>
      <c r="AM212">
        <v>5</v>
      </c>
      <c r="AT212" t="s">
        <v>834</v>
      </c>
      <c r="AU212" t="s">
        <v>143</v>
      </c>
      <c r="AV212" t="s">
        <v>832</v>
      </c>
      <c r="BB212" t="s">
        <v>284</v>
      </c>
      <c r="BC212" t="s">
        <v>134</v>
      </c>
      <c r="BD212">
        <v>3000000</v>
      </c>
      <c r="BE212">
        <v>3020000</v>
      </c>
      <c r="BF212">
        <v>2980000</v>
      </c>
    </row>
    <row r="213" spans="1:58" x14ac:dyDescent="0.2">
      <c r="E213">
        <v>217</v>
      </c>
      <c r="F213" t="s">
        <v>501</v>
      </c>
      <c r="H213">
        <v>217</v>
      </c>
      <c r="R213">
        <v>46.295520000000003</v>
      </c>
      <c r="T213">
        <v>9.6019000000000005</v>
      </c>
      <c r="U213">
        <v>0</v>
      </c>
      <c r="AA213">
        <v>122</v>
      </c>
      <c r="AB213" t="b">
        <v>0</v>
      </c>
      <c r="AE213">
        <v>0</v>
      </c>
      <c r="AJ213" t="s">
        <v>503</v>
      </c>
      <c r="AM213">
        <v>1</v>
      </c>
      <c r="AT213" t="s">
        <v>504</v>
      </c>
      <c r="AU213" t="s">
        <v>143</v>
      </c>
      <c r="AV213" t="s">
        <v>502</v>
      </c>
      <c r="BB213" t="s">
        <v>280</v>
      </c>
      <c r="BC213" t="s">
        <v>134</v>
      </c>
    </row>
    <row r="214" spans="1:58" x14ac:dyDescent="0.2">
      <c r="E214">
        <v>218</v>
      </c>
      <c r="F214" t="s">
        <v>276</v>
      </c>
      <c r="H214">
        <v>218</v>
      </c>
      <c r="R214">
        <v>46.295520000000003</v>
      </c>
      <c r="T214">
        <v>9.6019000000000005</v>
      </c>
      <c r="U214">
        <v>0</v>
      </c>
      <c r="AA214">
        <v>246</v>
      </c>
      <c r="AB214" t="b">
        <v>0</v>
      </c>
      <c r="AE214">
        <v>0</v>
      </c>
      <c r="AJ214" t="s">
        <v>278</v>
      </c>
      <c r="AM214">
        <v>1</v>
      </c>
      <c r="AT214" t="s">
        <v>279</v>
      </c>
      <c r="AU214" t="s">
        <v>143</v>
      </c>
      <c r="AV214" t="s">
        <v>277</v>
      </c>
      <c r="BB214" t="s">
        <v>280</v>
      </c>
      <c r="BC214" t="s">
        <v>134</v>
      </c>
    </row>
    <row r="215" spans="1:58" x14ac:dyDescent="0.2">
      <c r="E215">
        <v>219</v>
      </c>
      <c r="F215" t="s">
        <v>276</v>
      </c>
      <c r="H215">
        <v>219</v>
      </c>
      <c r="R215">
        <v>46.397100000000002</v>
      </c>
      <c r="T215">
        <v>9.6318999999999999</v>
      </c>
      <c r="U215">
        <v>0</v>
      </c>
      <c r="AA215">
        <v>339</v>
      </c>
      <c r="AB215" t="b">
        <v>0</v>
      </c>
      <c r="AE215">
        <v>0</v>
      </c>
      <c r="AJ215" t="s">
        <v>621</v>
      </c>
      <c r="AM215">
        <v>1</v>
      </c>
      <c r="AT215" t="s">
        <v>622</v>
      </c>
      <c r="AU215" t="s">
        <v>143</v>
      </c>
      <c r="AV215" t="s">
        <v>620</v>
      </c>
      <c r="BB215" t="s">
        <v>280</v>
      </c>
      <c r="BC215" t="s">
        <v>134</v>
      </c>
    </row>
    <row r="216" spans="1:58" x14ac:dyDescent="0.2">
      <c r="E216">
        <v>210</v>
      </c>
      <c r="F216" t="s">
        <v>626</v>
      </c>
      <c r="H216">
        <v>210</v>
      </c>
      <c r="R216">
        <v>46.251600000000003</v>
      </c>
      <c r="S216">
        <v>0.2</v>
      </c>
      <c r="T216">
        <v>8.9846000000000004</v>
      </c>
      <c r="U216">
        <v>0</v>
      </c>
      <c r="AA216">
        <v>254</v>
      </c>
      <c r="AB216" t="b">
        <v>0</v>
      </c>
      <c r="AE216">
        <v>0</v>
      </c>
      <c r="AJ216" t="s">
        <v>628</v>
      </c>
      <c r="AM216">
        <v>5</v>
      </c>
      <c r="AT216" t="s">
        <v>629</v>
      </c>
      <c r="AU216" t="s">
        <v>143</v>
      </c>
      <c r="AV216" t="s">
        <v>627</v>
      </c>
      <c r="BB216" t="s">
        <v>303</v>
      </c>
      <c r="BC216" t="s">
        <v>134</v>
      </c>
      <c r="BD216">
        <v>210000</v>
      </c>
    </row>
    <row r="217" spans="1:58" x14ac:dyDescent="0.2">
      <c r="A217">
        <v>170000</v>
      </c>
      <c r="B217">
        <v>260000</v>
      </c>
      <c r="C217">
        <v>110000</v>
      </c>
      <c r="D217">
        <v>1400000</v>
      </c>
      <c r="E217">
        <v>160</v>
      </c>
      <c r="F217" t="s">
        <v>267</v>
      </c>
      <c r="H217">
        <v>160</v>
      </c>
      <c r="I217">
        <v>1300</v>
      </c>
      <c r="J217">
        <v>1400</v>
      </c>
      <c r="K217">
        <v>1100</v>
      </c>
      <c r="O217">
        <v>3600</v>
      </c>
      <c r="P217">
        <v>4100</v>
      </c>
      <c r="Q217">
        <v>2900</v>
      </c>
      <c r="R217">
        <v>60.0336</v>
      </c>
      <c r="S217">
        <v>0.3</v>
      </c>
      <c r="T217">
        <v>-153.07599999999999</v>
      </c>
      <c r="U217">
        <v>0</v>
      </c>
      <c r="AA217">
        <v>172</v>
      </c>
      <c r="AB217" t="b">
        <v>1</v>
      </c>
      <c r="AE217">
        <v>0</v>
      </c>
      <c r="AG217">
        <v>0</v>
      </c>
      <c r="AI217" t="b">
        <v>0</v>
      </c>
      <c r="AJ217" t="s">
        <v>339</v>
      </c>
      <c r="AM217">
        <v>4</v>
      </c>
      <c r="AT217" t="s">
        <v>340</v>
      </c>
      <c r="AU217" t="s">
        <v>143</v>
      </c>
      <c r="AV217" t="s">
        <v>338</v>
      </c>
      <c r="AW217">
        <v>60.021099999999997</v>
      </c>
      <c r="AX217">
        <v>-153.0205</v>
      </c>
      <c r="AY217">
        <v>60.0336</v>
      </c>
      <c r="AZ217">
        <v>-153.07599999999999</v>
      </c>
      <c r="BB217" t="s">
        <v>341</v>
      </c>
      <c r="BC217" t="s">
        <v>134</v>
      </c>
      <c r="BD217">
        <v>2460000</v>
      </c>
      <c r="BE217">
        <v>6150000</v>
      </c>
      <c r="BF217">
        <v>1230000</v>
      </c>
    </row>
    <row r="218" spans="1:58" x14ac:dyDescent="0.2">
      <c r="E218">
        <v>149</v>
      </c>
      <c r="F218" t="s">
        <v>267</v>
      </c>
      <c r="H218">
        <v>149</v>
      </c>
      <c r="I218">
        <v>1830</v>
      </c>
      <c r="O218">
        <v>7800</v>
      </c>
      <c r="R218">
        <v>60.028700000000001</v>
      </c>
      <c r="S218">
        <v>2</v>
      </c>
      <c r="T218">
        <v>-153.07380000000001</v>
      </c>
      <c r="U218">
        <v>1</v>
      </c>
      <c r="AA218">
        <v>539</v>
      </c>
      <c r="AB218" t="b">
        <v>0</v>
      </c>
      <c r="AE218">
        <v>602</v>
      </c>
      <c r="AF218" t="b">
        <v>0</v>
      </c>
      <c r="AG218">
        <v>90</v>
      </c>
      <c r="AH218" t="b">
        <v>1</v>
      </c>
      <c r="AI218" t="b">
        <v>1</v>
      </c>
      <c r="AJ218" t="s">
        <v>339</v>
      </c>
      <c r="AM218">
        <v>4</v>
      </c>
      <c r="AT218" t="s">
        <v>477</v>
      </c>
      <c r="AU218" t="s">
        <v>143</v>
      </c>
      <c r="AV218" t="s">
        <v>476</v>
      </c>
      <c r="AW218">
        <v>60.017299999999999</v>
      </c>
      <c r="AX218">
        <v>-152.9357</v>
      </c>
      <c r="AY218">
        <v>60.028700000000001</v>
      </c>
      <c r="AZ218">
        <v>-153.07380000000001</v>
      </c>
      <c r="BB218" t="s">
        <v>271</v>
      </c>
      <c r="BC218" t="s">
        <v>134</v>
      </c>
      <c r="BD218">
        <v>11000000</v>
      </c>
      <c r="BE218">
        <v>18000000</v>
      </c>
      <c r="BF218">
        <v>4000000</v>
      </c>
    </row>
    <row r="219" spans="1:58" x14ac:dyDescent="0.2">
      <c r="A219">
        <v>460000</v>
      </c>
      <c r="B219">
        <v>720000</v>
      </c>
      <c r="C219">
        <v>460000</v>
      </c>
      <c r="D219">
        <v>8600000</v>
      </c>
      <c r="E219">
        <v>75</v>
      </c>
      <c r="F219" t="s">
        <v>267</v>
      </c>
      <c r="H219">
        <v>75</v>
      </c>
      <c r="I219">
        <v>1700</v>
      </c>
      <c r="O219">
        <v>8200</v>
      </c>
      <c r="R219">
        <v>60.027700000000003</v>
      </c>
      <c r="S219">
        <v>1</v>
      </c>
      <c r="T219">
        <v>-153.07490000000001</v>
      </c>
      <c r="U219">
        <v>1</v>
      </c>
      <c r="AA219">
        <v>375</v>
      </c>
      <c r="AB219" t="b">
        <v>1</v>
      </c>
      <c r="AE219">
        <v>500</v>
      </c>
      <c r="AF219" t="b">
        <v>0</v>
      </c>
      <c r="AG219">
        <v>90</v>
      </c>
      <c r="AH219" t="b">
        <v>1</v>
      </c>
      <c r="AI219" t="b">
        <v>1</v>
      </c>
      <c r="AJ219" t="s">
        <v>339</v>
      </c>
      <c r="AM219">
        <v>4</v>
      </c>
      <c r="AT219" t="s">
        <v>885</v>
      </c>
      <c r="AU219" t="s">
        <v>137</v>
      </c>
      <c r="AV219" t="s">
        <v>884</v>
      </c>
      <c r="AW219">
        <v>60.017290000000003</v>
      </c>
      <c r="AX219">
        <v>-152.9323</v>
      </c>
      <c r="AY219">
        <v>60.027700000000003</v>
      </c>
      <c r="AZ219">
        <v>-153.07490000000001</v>
      </c>
      <c r="BB219" t="s">
        <v>271</v>
      </c>
      <c r="BC219" t="s">
        <v>134</v>
      </c>
      <c r="BD219">
        <v>16000000</v>
      </c>
      <c r="BE219">
        <v>41000000</v>
      </c>
      <c r="BF219">
        <v>7800000</v>
      </c>
    </row>
    <row r="220" spans="1:58" x14ac:dyDescent="0.2">
      <c r="E220">
        <v>54</v>
      </c>
      <c r="F220" t="s">
        <v>320</v>
      </c>
      <c r="H220">
        <v>54</v>
      </c>
      <c r="I220">
        <v>1940</v>
      </c>
      <c r="O220">
        <v>8570</v>
      </c>
      <c r="R220">
        <v>60.02825</v>
      </c>
      <c r="S220">
        <v>0</v>
      </c>
      <c r="T220">
        <v>-153.0787</v>
      </c>
      <c r="U220">
        <v>0</v>
      </c>
      <c r="AA220">
        <v>357</v>
      </c>
      <c r="AB220" t="b">
        <v>1</v>
      </c>
      <c r="AE220">
        <v>0</v>
      </c>
      <c r="AJ220" t="s">
        <v>339</v>
      </c>
      <c r="AM220">
        <v>5</v>
      </c>
      <c r="AT220" t="s">
        <v>923</v>
      </c>
      <c r="AU220" t="s">
        <v>137</v>
      </c>
      <c r="AV220" t="s">
        <v>922</v>
      </c>
      <c r="AW220">
        <v>59.997399999999999</v>
      </c>
      <c r="AX220">
        <v>-152.8588</v>
      </c>
      <c r="AY220">
        <v>60.02825</v>
      </c>
      <c r="AZ220">
        <v>-153.0787</v>
      </c>
      <c r="BB220" t="s">
        <v>341</v>
      </c>
      <c r="BC220" t="s">
        <v>134</v>
      </c>
      <c r="BD220">
        <v>16000000</v>
      </c>
      <c r="BE220">
        <v>20000000</v>
      </c>
      <c r="BF220">
        <v>12000000</v>
      </c>
    </row>
    <row r="221" spans="1:58" x14ac:dyDescent="0.2">
      <c r="D221">
        <v>760000</v>
      </c>
      <c r="E221">
        <v>98</v>
      </c>
      <c r="F221" t="s">
        <v>267</v>
      </c>
      <c r="H221">
        <v>98</v>
      </c>
      <c r="I221">
        <v>1372</v>
      </c>
      <c r="O221">
        <v>3700</v>
      </c>
      <c r="R221">
        <v>60.490400000000001</v>
      </c>
      <c r="T221">
        <v>-152.7627</v>
      </c>
      <c r="U221">
        <v>0</v>
      </c>
      <c r="AA221">
        <v>101</v>
      </c>
      <c r="AB221" t="b">
        <v>1</v>
      </c>
      <c r="AE221">
        <v>0</v>
      </c>
      <c r="AJ221" t="s">
        <v>583</v>
      </c>
      <c r="AM221">
        <v>3</v>
      </c>
      <c r="AT221" t="s">
        <v>584</v>
      </c>
      <c r="AU221" t="s">
        <v>137</v>
      </c>
      <c r="AV221" t="s">
        <v>582</v>
      </c>
      <c r="BB221" t="s">
        <v>271</v>
      </c>
      <c r="BC221" t="s">
        <v>134</v>
      </c>
      <c r="BD221">
        <v>1130000</v>
      </c>
      <c r="BE221">
        <v>1500000</v>
      </c>
      <c r="BF221">
        <v>760000</v>
      </c>
    </row>
    <row r="222" spans="1:58" x14ac:dyDescent="0.2">
      <c r="E222">
        <v>14</v>
      </c>
      <c r="F222" t="s">
        <v>320</v>
      </c>
      <c r="H222">
        <v>14</v>
      </c>
      <c r="I222">
        <v>2400</v>
      </c>
      <c r="J222">
        <v>2600</v>
      </c>
      <c r="K222">
        <v>2200</v>
      </c>
      <c r="O222">
        <v>44000</v>
      </c>
      <c r="P222">
        <v>45000</v>
      </c>
      <c r="Q222">
        <v>42000</v>
      </c>
      <c r="R222">
        <v>60.49044</v>
      </c>
      <c r="S222">
        <v>1</v>
      </c>
      <c r="T222">
        <v>-152.76268999999999</v>
      </c>
      <c r="U222">
        <v>1</v>
      </c>
      <c r="AA222">
        <v>762</v>
      </c>
      <c r="AB222" t="b">
        <v>1</v>
      </c>
      <c r="AE222">
        <v>762</v>
      </c>
      <c r="AF222" t="b">
        <v>1</v>
      </c>
      <c r="AJ222" t="s">
        <v>193</v>
      </c>
      <c r="AM222">
        <v>5</v>
      </c>
      <c r="AT222" t="s">
        <v>196</v>
      </c>
      <c r="AU222" t="s">
        <v>137</v>
      </c>
      <c r="AV222" t="s">
        <v>879</v>
      </c>
      <c r="AW222">
        <v>60.573920000000001</v>
      </c>
      <c r="AX222">
        <v>-152.16444999999999</v>
      </c>
      <c r="AY222">
        <v>60.49044</v>
      </c>
      <c r="AZ222">
        <v>-152.76268999999999</v>
      </c>
      <c r="BB222" t="s">
        <v>197</v>
      </c>
      <c r="BC222" t="s">
        <v>122</v>
      </c>
      <c r="BD222">
        <v>50000000</v>
      </c>
      <c r="BE222">
        <v>100000000</v>
      </c>
      <c r="BF222">
        <v>10000000</v>
      </c>
    </row>
    <row r="223" spans="1:58" x14ac:dyDescent="0.2">
      <c r="E223">
        <v>16</v>
      </c>
      <c r="F223" t="s">
        <v>320</v>
      </c>
      <c r="H223">
        <v>16</v>
      </c>
      <c r="I223">
        <v>2400</v>
      </c>
      <c r="J223">
        <v>2600</v>
      </c>
      <c r="K223">
        <v>2200</v>
      </c>
      <c r="O223">
        <v>44000</v>
      </c>
      <c r="P223">
        <v>45000</v>
      </c>
      <c r="Q223">
        <v>42000</v>
      </c>
      <c r="R223">
        <v>60.49044</v>
      </c>
      <c r="S223">
        <v>1</v>
      </c>
      <c r="T223">
        <v>-152.76268999999999</v>
      </c>
      <c r="U223">
        <v>1</v>
      </c>
      <c r="AA223">
        <v>281</v>
      </c>
      <c r="AB223" t="b">
        <v>1</v>
      </c>
      <c r="AE223">
        <v>265</v>
      </c>
      <c r="AF223" t="b">
        <v>1</v>
      </c>
      <c r="AJ223" t="s">
        <v>194</v>
      </c>
      <c r="AM223">
        <v>5</v>
      </c>
      <c r="AT223" t="s">
        <v>198</v>
      </c>
      <c r="AU223" t="s">
        <v>137</v>
      </c>
      <c r="AV223" t="s">
        <v>880</v>
      </c>
      <c r="AW223">
        <v>60.573920000000001</v>
      </c>
      <c r="AX223">
        <v>-152.16444999999999</v>
      </c>
      <c r="AY223">
        <v>60.49044</v>
      </c>
      <c r="AZ223">
        <v>-152.76268999999999</v>
      </c>
      <c r="BB223" t="s">
        <v>197</v>
      </c>
      <c r="BC223" t="s">
        <v>122</v>
      </c>
      <c r="BD223">
        <v>155000000</v>
      </c>
      <c r="BE223">
        <v>250000000</v>
      </c>
      <c r="BF223">
        <v>60000000</v>
      </c>
    </row>
    <row r="224" spans="1:58" x14ac:dyDescent="0.2">
      <c r="E224">
        <v>15</v>
      </c>
      <c r="F224" t="s">
        <v>320</v>
      </c>
      <c r="H224">
        <v>15</v>
      </c>
      <c r="I224">
        <v>2400</v>
      </c>
      <c r="J224">
        <v>2600</v>
      </c>
      <c r="K224">
        <v>2200</v>
      </c>
      <c r="O224">
        <v>44000</v>
      </c>
      <c r="P224">
        <v>45000</v>
      </c>
      <c r="Q224">
        <v>42000</v>
      </c>
      <c r="R224">
        <v>60.49044</v>
      </c>
      <c r="S224">
        <v>1</v>
      </c>
      <c r="T224">
        <v>-152.76268999999999</v>
      </c>
      <c r="U224">
        <v>1</v>
      </c>
      <c r="AA224">
        <v>379</v>
      </c>
      <c r="AB224" t="b">
        <v>1</v>
      </c>
      <c r="AE224">
        <v>1000</v>
      </c>
      <c r="AF224" t="b">
        <v>0</v>
      </c>
      <c r="AJ224" t="s">
        <v>199</v>
      </c>
      <c r="AM224">
        <v>5</v>
      </c>
      <c r="AT224" t="s">
        <v>200</v>
      </c>
      <c r="AU224" t="s">
        <v>137</v>
      </c>
      <c r="AV224" t="s">
        <v>894</v>
      </c>
      <c r="AW224">
        <v>60.573920000000001</v>
      </c>
      <c r="AX224">
        <v>-152.16444999999999</v>
      </c>
      <c r="AY224">
        <v>60.49044</v>
      </c>
      <c r="AZ224">
        <v>-152.76268999999999</v>
      </c>
      <c r="BB224" t="s">
        <v>197</v>
      </c>
      <c r="BC224" t="s">
        <v>122</v>
      </c>
      <c r="BD224">
        <v>50000000</v>
      </c>
      <c r="BE224">
        <v>100000000</v>
      </c>
      <c r="BF224">
        <v>10000000</v>
      </c>
    </row>
    <row r="225" spans="1:58" x14ac:dyDescent="0.2">
      <c r="E225">
        <v>63</v>
      </c>
      <c r="F225" t="s">
        <v>320</v>
      </c>
      <c r="H225">
        <v>63</v>
      </c>
      <c r="I225">
        <v>2400</v>
      </c>
      <c r="J225">
        <v>2600</v>
      </c>
      <c r="K225">
        <v>2200</v>
      </c>
      <c r="O225">
        <v>44000</v>
      </c>
      <c r="P225">
        <v>45000</v>
      </c>
      <c r="Q225">
        <v>42000</v>
      </c>
      <c r="R225">
        <v>60.49044</v>
      </c>
      <c r="S225">
        <v>1</v>
      </c>
      <c r="T225">
        <v>-152.76268999999999</v>
      </c>
      <c r="U225">
        <v>0</v>
      </c>
      <c r="AA225">
        <v>87</v>
      </c>
      <c r="AB225" t="b">
        <v>0</v>
      </c>
      <c r="AE225">
        <v>0</v>
      </c>
      <c r="AF225" t="b">
        <v>0</v>
      </c>
      <c r="AJ225" t="s">
        <v>201</v>
      </c>
      <c r="AM225">
        <v>5</v>
      </c>
      <c r="AT225" t="s">
        <v>202</v>
      </c>
      <c r="AU225" t="s">
        <v>137</v>
      </c>
      <c r="AV225" t="s">
        <v>898</v>
      </c>
      <c r="AW225">
        <v>60.573920000000001</v>
      </c>
      <c r="AX225">
        <v>-152.16444999999999</v>
      </c>
      <c r="AY225">
        <v>60.49044</v>
      </c>
      <c r="AZ225">
        <v>-152.76268999999999</v>
      </c>
      <c r="BB225" t="s">
        <v>197</v>
      </c>
      <c r="BC225" t="s">
        <v>122</v>
      </c>
      <c r="BD225">
        <v>8800000</v>
      </c>
      <c r="BE225">
        <v>15000000</v>
      </c>
      <c r="BF225">
        <v>2000000</v>
      </c>
    </row>
    <row r="226" spans="1:58" x14ac:dyDescent="0.2">
      <c r="E226">
        <v>64</v>
      </c>
      <c r="F226" t="s">
        <v>320</v>
      </c>
      <c r="H226">
        <v>64</v>
      </c>
      <c r="I226">
        <v>2400</v>
      </c>
      <c r="J226">
        <v>2600</v>
      </c>
      <c r="K226">
        <v>2200</v>
      </c>
      <c r="O226">
        <v>44000</v>
      </c>
      <c r="P226">
        <v>45000</v>
      </c>
      <c r="Q226">
        <v>42000</v>
      </c>
      <c r="R226">
        <v>60.49044</v>
      </c>
      <c r="S226">
        <v>1</v>
      </c>
      <c r="T226">
        <v>-152.76268999999999</v>
      </c>
      <c r="U226">
        <v>0</v>
      </c>
      <c r="AA226">
        <v>474</v>
      </c>
      <c r="AB226" t="b">
        <v>0</v>
      </c>
      <c r="AE226">
        <v>0</v>
      </c>
      <c r="AF226" t="b">
        <v>0</v>
      </c>
      <c r="AJ226" t="s">
        <v>203</v>
      </c>
      <c r="AM226">
        <v>5</v>
      </c>
      <c r="AT226" t="s">
        <v>204</v>
      </c>
      <c r="AU226" t="s">
        <v>137</v>
      </c>
      <c r="AV226" t="s">
        <v>911</v>
      </c>
      <c r="AW226">
        <v>60.573920000000001</v>
      </c>
      <c r="AX226">
        <v>-152.16444999999999</v>
      </c>
      <c r="AY226">
        <v>60.49044</v>
      </c>
      <c r="AZ226">
        <v>-152.76268999999999</v>
      </c>
      <c r="BB226" t="s">
        <v>197</v>
      </c>
      <c r="BC226" t="s">
        <v>122</v>
      </c>
      <c r="BD226">
        <v>26000000</v>
      </c>
      <c r="BE226">
        <v>45000000</v>
      </c>
      <c r="BF226">
        <v>8000000</v>
      </c>
    </row>
    <row r="227" spans="1:58" x14ac:dyDescent="0.2">
      <c r="A227">
        <v>14000</v>
      </c>
      <c r="B227">
        <v>21000</v>
      </c>
      <c r="C227">
        <v>7000</v>
      </c>
      <c r="D227">
        <v>91000</v>
      </c>
      <c r="E227">
        <v>288</v>
      </c>
      <c r="F227" t="s">
        <v>267</v>
      </c>
      <c r="H227">
        <v>288</v>
      </c>
      <c r="I227">
        <v>350</v>
      </c>
      <c r="O227">
        <v>580</v>
      </c>
      <c r="P227">
        <v>640</v>
      </c>
      <c r="Q227">
        <v>530</v>
      </c>
      <c r="R227">
        <v>56.926699999999997</v>
      </c>
      <c r="S227">
        <v>0</v>
      </c>
      <c r="T227">
        <v>-135.13380000000001</v>
      </c>
      <c r="U227">
        <v>0</v>
      </c>
      <c r="AA227">
        <v>19</v>
      </c>
      <c r="AB227" t="b">
        <v>1</v>
      </c>
      <c r="AE227">
        <v>0</v>
      </c>
      <c r="AJ227" t="s">
        <v>993</v>
      </c>
      <c r="AM227">
        <v>4</v>
      </c>
      <c r="AT227" t="s">
        <v>994</v>
      </c>
      <c r="AU227" t="s">
        <v>120</v>
      </c>
      <c r="AV227" t="s">
        <v>992</v>
      </c>
      <c r="AW227">
        <v>56.922199999999997</v>
      </c>
      <c r="AX227">
        <v>-135.13679999999999</v>
      </c>
      <c r="AY227">
        <v>56.926699999999997</v>
      </c>
      <c r="AZ227">
        <v>-135.13380000000001</v>
      </c>
      <c r="BB227" t="s">
        <v>280</v>
      </c>
      <c r="BC227" t="s">
        <v>134</v>
      </c>
      <c r="BD227">
        <v>160000</v>
      </c>
      <c r="BE227">
        <v>260000</v>
      </c>
      <c r="BF227">
        <v>100000</v>
      </c>
    </row>
    <row r="228" spans="1:58" x14ac:dyDescent="0.2">
      <c r="E228">
        <v>211</v>
      </c>
      <c r="F228" t="s">
        <v>436</v>
      </c>
      <c r="H228">
        <v>211</v>
      </c>
      <c r="R228">
        <v>47.040500000000002</v>
      </c>
      <c r="S228">
        <v>0.1</v>
      </c>
      <c r="T228">
        <v>9.5012000000000008</v>
      </c>
      <c r="U228">
        <v>0</v>
      </c>
      <c r="AA228">
        <v>41</v>
      </c>
      <c r="AB228" t="b">
        <v>0</v>
      </c>
      <c r="AE228">
        <v>0</v>
      </c>
      <c r="AJ228" t="s">
        <v>529</v>
      </c>
      <c r="AM228">
        <v>3</v>
      </c>
      <c r="AT228" t="s">
        <v>530</v>
      </c>
      <c r="AU228" t="s">
        <v>143</v>
      </c>
      <c r="AV228" t="s">
        <v>528</v>
      </c>
      <c r="BB228" t="s">
        <v>312</v>
      </c>
      <c r="BC228" t="s">
        <v>191</v>
      </c>
      <c r="BD228">
        <v>180</v>
      </c>
    </row>
    <row r="229" spans="1:58" x14ac:dyDescent="0.2">
      <c r="E229">
        <v>174</v>
      </c>
      <c r="F229" t="s">
        <v>267</v>
      </c>
      <c r="H229">
        <v>174</v>
      </c>
      <c r="R229">
        <v>45.369700000000002</v>
      </c>
      <c r="S229">
        <v>0.35</v>
      </c>
      <c r="T229">
        <v>-121.7295</v>
      </c>
      <c r="U229">
        <v>0</v>
      </c>
      <c r="AA229">
        <v>10</v>
      </c>
      <c r="AB229" t="b">
        <v>1</v>
      </c>
      <c r="AE229">
        <v>0</v>
      </c>
      <c r="AG229">
        <v>0</v>
      </c>
      <c r="AI229" t="b">
        <v>0</v>
      </c>
      <c r="AJ229" t="s">
        <v>946</v>
      </c>
      <c r="AM229">
        <v>2</v>
      </c>
      <c r="AT229" t="s">
        <v>947</v>
      </c>
      <c r="AU229" t="s">
        <v>143</v>
      </c>
      <c r="AV229" t="s">
        <v>945</v>
      </c>
      <c r="BB229" t="s">
        <v>374</v>
      </c>
      <c r="BC229" t="s">
        <v>375</v>
      </c>
    </row>
    <row r="230" spans="1:58" x14ac:dyDescent="0.2">
      <c r="E230">
        <v>223</v>
      </c>
      <c r="F230" t="s">
        <v>907</v>
      </c>
      <c r="H230">
        <v>223</v>
      </c>
      <c r="R230">
        <v>47.353000000000002</v>
      </c>
      <c r="T230">
        <v>9.8149999999999995</v>
      </c>
      <c r="U230">
        <v>0</v>
      </c>
      <c r="AA230">
        <v>99</v>
      </c>
      <c r="AB230" t="b">
        <v>0</v>
      </c>
      <c r="AE230">
        <v>0</v>
      </c>
      <c r="AJ230" t="s">
        <v>1055</v>
      </c>
      <c r="AM230">
        <v>1</v>
      </c>
      <c r="AT230" t="s">
        <v>1056</v>
      </c>
      <c r="AU230" t="s">
        <v>143</v>
      </c>
      <c r="AV230" t="s">
        <v>1054</v>
      </c>
      <c r="BB230" t="s">
        <v>280</v>
      </c>
      <c r="BC230" t="s">
        <v>134</v>
      </c>
    </row>
    <row r="231" spans="1:58" x14ac:dyDescent="0.2">
      <c r="E231">
        <v>121</v>
      </c>
      <c r="F231" t="s">
        <v>267</v>
      </c>
      <c r="H231">
        <v>121</v>
      </c>
      <c r="I231">
        <v>2300</v>
      </c>
      <c r="O231">
        <v>7800</v>
      </c>
      <c r="R231">
        <v>46.874600000000001</v>
      </c>
      <c r="S231">
        <v>0.5</v>
      </c>
      <c r="T231">
        <v>-121.75369999999999</v>
      </c>
      <c r="U231">
        <v>0</v>
      </c>
      <c r="AA231">
        <v>91</v>
      </c>
      <c r="AB231" t="b">
        <v>0</v>
      </c>
      <c r="AE231">
        <v>0</v>
      </c>
      <c r="AJ231" t="s">
        <v>740</v>
      </c>
      <c r="AM231">
        <v>3</v>
      </c>
      <c r="AT231" t="s">
        <v>741</v>
      </c>
      <c r="AU231" t="s">
        <v>137</v>
      </c>
      <c r="AV231" t="s">
        <v>739</v>
      </c>
      <c r="BB231" t="s">
        <v>312</v>
      </c>
      <c r="BC231" t="s">
        <v>191</v>
      </c>
    </row>
    <row r="232" spans="1:58" x14ac:dyDescent="0.2">
      <c r="E232">
        <v>122</v>
      </c>
      <c r="F232" t="s">
        <v>267</v>
      </c>
      <c r="H232">
        <v>122</v>
      </c>
      <c r="I232">
        <v>2300</v>
      </c>
      <c r="O232">
        <v>7800</v>
      </c>
      <c r="R232">
        <v>46.874600000000001</v>
      </c>
      <c r="S232">
        <v>0.5</v>
      </c>
      <c r="T232">
        <v>-121.75369999999999</v>
      </c>
      <c r="U232">
        <v>0</v>
      </c>
      <c r="AA232">
        <v>181</v>
      </c>
      <c r="AB232" t="b">
        <v>0</v>
      </c>
      <c r="AE232">
        <v>0</v>
      </c>
      <c r="AJ232" t="s">
        <v>734</v>
      </c>
      <c r="AM232">
        <v>3</v>
      </c>
      <c r="AT232" t="s">
        <v>735</v>
      </c>
      <c r="AU232" t="s">
        <v>137</v>
      </c>
      <c r="AV232" t="s">
        <v>733</v>
      </c>
      <c r="BB232" t="s">
        <v>312</v>
      </c>
      <c r="BC232" t="s">
        <v>191</v>
      </c>
    </row>
    <row r="233" spans="1:58" x14ac:dyDescent="0.2">
      <c r="E233">
        <v>123</v>
      </c>
      <c r="F233" t="s">
        <v>267</v>
      </c>
      <c r="H233">
        <v>123</v>
      </c>
      <c r="I233">
        <v>2300</v>
      </c>
      <c r="O233">
        <v>7800</v>
      </c>
      <c r="R233">
        <v>46.874600000000001</v>
      </c>
      <c r="S233">
        <v>0.5</v>
      </c>
      <c r="T233">
        <v>-121.75369999999999</v>
      </c>
      <c r="U233">
        <v>0</v>
      </c>
      <c r="AA233">
        <v>135</v>
      </c>
      <c r="AB233" t="b">
        <v>0</v>
      </c>
      <c r="AE233">
        <v>0</v>
      </c>
      <c r="AJ233" t="s">
        <v>685</v>
      </c>
      <c r="AM233">
        <v>3</v>
      </c>
      <c r="AT233" t="s">
        <v>686</v>
      </c>
      <c r="AU233" t="s">
        <v>137</v>
      </c>
      <c r="AV233" t="s">
        <v>684</v>
      </c>
      <c r="BB233" t="s">
        <v>312</v>
      </c>
      <c r="BC233" t="s">
        <v>191</v>
      </c>
    </row>
    <row r="234" spans="1:58" x14ac:dyDescent="0.2">
      <c r="D234">
        <v>15000</v>
      </c>
      <c r="E234">
        <v>106</v>
      </c>
      <c r="F234" t="s">
        <v>267</v>
      </c>
      <c r="H234">
        <v>106</v>
      </c>
      <c r="I234">
        <v>2500</v>
      </c>
      <c r="O234">
        <v>7800</v>
      </c>
      <c r="R234">
        <v>46.874600000000001</v>
      </c>
      <c r="S234">
        <v>0.5</v>
      </c>
      <c r="T234">
        <v>-121.75369999999999</v>
      </c>
      <c r="U234">
        <v>0</v>
      </c>
      <c r="AA234">
        <v>193</v>
      </c>
      <c r="AB234" t="b">
        <v>0</v>
      </c>
      <c r="AE234">
        <v>0</v>
      </c>
      <c r="AJ234" t="s">
        <v>469</v>
      </c>
      <c r="AM234">
        <v>3</v>
      </c>
      <c r="AT234" t="s">
        <v>470</v>
      </c>
      <c r="AU234" t="s">
        <v>137</v>
      </c>
      <c r="AV234" t="s">
        <v>468</v>
      </c>
      <c r="BB234" t="s">
        <v>471</v>
      </c>
      <c r="BC234" t="s">
        <v>134</v>
      </c>
      <c r="BD234">
        <v>300000</v>
      </c>
      <c r="BE234">
        <v>500000</v>
      </c>
      <c r="BF234">
        <v>100000</v>
      </c>
    </row>
    <row r="235" spans="1:58" x14ac:dyDescent="0.2">
      <c r="E235">
        <v>126</v>
      </c>
      <c r="F235" t="s">
        <v>267</v>
      </c>
      <c r="H235">
        <v>126</v>
      </c>
      <c r="I235">
        <v>1000</v>
      </c>
      <c r="O235">
        <v>2000</v>
      </c>
      <c r="R235">
        <v>46.874600000000001</v>
      </c>
      <c r="S235">
        <v>0.5</v>
      </c>
      <c r="T235">
        <v>-121.75369999999999</v>
      </c>
      <c r="U235">
        <v>0</v>
      </c>
      <c r="AA235">
        <v>73</v>
      </c>
      <c r="AB235" t="b">
        <v>0</v>
      </c>
      <c r="AE235">
        <v>0</v>
      </c>
      <c r="AJ235" t="s">
        <v>1047</v>
      </c>
      <c r="AM235">
        <v>3</v>
      </c>
      <c r="AT235" t="s">
        <v>1048</v>
      </c>
      <c r="AU235" t="s">
        <v>137</v>
      </c>
      <c r="AV235" t="s">
        <v>1046</v>
      </c>
      <c r="BB235" t="s">
        <v>471</v>
      </c>
      <c r="BC235" t="s">
        <v>134</v>
      </c>
      <c r="BD235">
        <v>75000</v>
      </c>
      <c r="BE235">
        <v>100000</v>
      </c>
      <c r="BF235">
        <v>50000</v>
      </c>
    </row>
    <row r="236" spans="1:58" x14ac:dyDescent="0.2">
      <c r="E236">
        <v>252</v>
      </c>
      <c r="F236" t="s">
        <v>316</v>
      </c>
      <c r="H236">
        <v>252</v>
      </c>
      <c r="R236">
        <v>43.85</v>
      </c>
      <c r="S236">
        <v>6</v>
      </c>
      <c r="T236">
        <v>6.7</v>
      </c>
      <c r="U236">
        <v>0</v>
      </c>
      <c r="AA236">
        <v>244</v>
      </c>
      <c r="AB236" t="b">
        <v>0</v>
      </c>
      <c r="AE236">
        <v>0</v>
      </c>
      <c r="AJ236" t="s">
        <v>318</v>
      </c>
      <c r="AM236">
        <v>1</v>
      </c>
      <c r="AT236" t="s">
        <v>319</v>
      </c>
      <c r="AU236" t="s">
        <v>143</v>
      </c>
      <c r="AV236" t="s">
        <v>317</v>
      </c>
      <c r="BB236" t="s">
        <v>280</v>
      </c>
      <c r="BC236" t="s">
        <v>134</v>
      </c>
    </row>
    <row r="237" spans="1:58" x14ac:dyDescent="0.2">
      <c r="E237">
        <v>199</v>
      </c>
      <c r="F237" t="s">
        <v>316</v>
      </c>
      <c r="H237">
        <v>199</v>
      </c>
      <c r="R237">
        <v>44.54</v>
      </c>
      <c r="S237">
        <v>3</v>
      </c>
      <c r="T237">
        <v>6.51</v>
      </c>
      <c r="U237">
        <v>0</v>
      </c>
      <c r="AA237">
        <v>111</v>
      </c>
      <c r="AB237" t="b">
        <v>0</v>
      </c>
      <c r="AE237">
        <v>0</v>
      </c>
      <c r="AJ237" t="s">
        <v>514</v>
      </c>
      <c r="AM237">
        <v>1</v>
      </c>
      <c r="AT237" t="s">
        <v>515</v>
      </c>
      <c r="AU237" t="s">
        <v>143</v>
      </c>
      <c r="AV237" t="s">
        <v>513</v>
      </c>
      <c r="BB237" t="s">
        <v>280</v>
      </c>
      <c r="BC237" t="s">
        <v>134</v>
      </c>
    </row>
    <row r="238" spans="1:58" x14ac:dyDescent="0.2">
      <c r="A238">
        <v>130000</v>
      </c>
      <c r="B238">
        <v>160000</v>
      </c>
      <c r="C238">
        <v>84000</v>
      </c>
      <c r="D238">
        <v>3000000</v>
      </c>
      <c r="E238">
        <v>188</v>
      </c>
      <c r="F238" t="s">
        <v>287</v>
      </c>
      <c r="H238">
        <v>188</v>
      </c>
      <c r="I238">
        <v>1800</v>
      </c>
      <c r="J238">
        <v>1900</v>
      </c>
      <c r="K238">
        <v>1600</v>
      </c>
      <c r="O238">
        <v>7600</v>
      </c>
      <c r="P238">
        <v>7900</v>
      </c>
      <c r="Q238">
        <v>7300</v>
      </c>
      <c r="R238">
        <v>51.871299999999998</v>
      </c>
      <c r="S238">
        <v>0</v>
      </c>
      <c r="T238">
        <v>-125.9434</v>
      </c>
      <c r="U238">
        <v>1</v>
      </c>
      <c r="AA238">
        <v>500</v>
      </c>
      <c r="AB238" t="b">
        <v>0</v>
      </c>
      <c r="AE238">
        <v>500</v>
      </c>
      <c r="AF238" t="b">
        <v>0</v>
      </c>
      <c r="AJ238" t="s">
        <v>1073</v>
      </c>
      <c r="AM238">
        <v>4</v>
      </c>
      <c r="AT238" t="s">
        <v>1074</v>
      </c>
      <c r="AU238" t="s">
        <v>143</v>
      </c>
      <c r="AV238" t="s">
        <v>1072</v>
      </c>
      <c r="AW238">
        <v>51.847799999999999</v>
      </c>
      <c r="AX238">
        <v>-126.0291</v>
      </c>
      <c r="AY238">
        <v>51.871299999999998</v>
      </c>
      <c r="AZ238">
        <v>-125.9434</v>
      </c>
      <c r="BB238" t="s">
        <v>303</v>
      </c>
      <c r="BC238" t="s">
        <v>134</v>
      </c>
      <c r="BD238">
        <v>3800000</v>
      </c>
      <c r="BE238">
        <v>5400000</v>
      </c>
      <c r="BF238">
        <v>2700000</v>
      </c>
    </row>
    <row r="239" spans="1:58" x14ac:dyDescent="0.2">
      <c r="D239">
        <v>270000</v>
      </c>
      <c r="E239">
        <v>162</v>
      </c>
      <c r="F239" t="s">
        <v>267</v>
      </c>
      <c r="H239">
        <v>162</v>
      </c>
      <c r="I239">
        <v>1500</v>
      </c>
      <c r="J239">
        <v>1800</v>
      </c>
      <c r="K239">
        <v>1400</v>
      </c>
      <c r="O239">
        <v>3100</v>
      </c>
      <c r="P239">
        <v>4100</v>
      </c>
      <c r="Q239">
        <v>2500</v>
      </c>
      <c r="R239">
        <v>54.756599999999999</v>
      </c>
      <c r="S239">
        <v>0</v>
      </c>
      <c r="T239">
        <v>-163.97059999999999</v>
      </c>
      <c r="U239">
        <v>0</v>
      </c>
      <c r="AA239">
        <v>11</v>
      </c>
      <c r="AB239" t="b">
        <v>1</v>
      </c>
      <c r="AE239">
        <v>0</v>
      </c>
      <c r="AI239" t="b">
        <v>1</v>
      </c>
      <c r="AJ239" t="s">
        <v>205</v>
      </c>
      <c r="AM239">
        <v>4</v>
      </c>
      <c r="AT239" t="s">
        <v>206</v>
      </c>
      <c r="AU239" t="s">
        <v>143</v>
      </c>
      <c r="AV239" t="s">
        <v>918</v>
      </c>
      <c r="AW239">
        <v>54.781799999999997</v>
      </c>
      <c r="AX239">
        <v>-163.98779999999999</v>
      </c>
      <c r="AY239">
        <v>54.756599999999999</v>
      </c>
      <c r="AZ239">
        <v>-163.97059999999999</v>
      </c>
      <c r="BB239" t="s">
        <v>207</v>
      </c>
      <c r="BC239" t="s">
        <v>122</v>
      </c>
    </row>
    <row r="240" spans="1:58" x14ac:dyDescent="0.2">
      <c r="E240">
        <v>293</v>
      </c>
      <c r="F240" t="s">
        <v>267</v>
      </c>
      <c r="H240">
        <v>293</v>
      </c>
      <c r="R240">
        <v>46.189399999999999</v>
      </c>
      <c r="S240">
        <v>1</v>
      </c>
      <c r="T240">
        <v>-122.16549999999999</v>
      </c>
      <c r="U240">
        <v>0</v>
      </c>
      <c r="AA240">
        <v>15</v>
      </c>
      <c r="AB240" t="b">
        <v>1</v>
      </c>
      <c r="AE240">
        <v>0</v>
      </c>
      <c r="AI240" t="b">
        <v>0</v>
      </c>
      <c r="AJ240" t="s">
        <v>410</v>
      </c>
      <c r="AM240">
        <v>2</v>
      </c>
      <c r="AT240" t="s">
        <v>411</v>
      </c>
      <c r="AU240" t="s">
        <v>120</v>
      </c>
      <c r="AV240" t="s">
        <v>409</v>
      </c>
      <c r="BB240" t="s">
        <v>374</v>
      </c>
      <c r="BC240" t="s">
        <v>375</v>
      </c>
    </row>
    <row r="241" spans="1:58" x14ac:dyDescent="0.2">
      <c r="E241">
        <v>271</v>
      </c>
      <c r="F241" t="s">
        <v>267</v>
      </c>
      <c r="H241">
        <v>271</v>
      </c>
      <c r="I241">
        <v>1000</v>
      </c>
      <c r="J241">
        <v>1100</v>
      </c>
      <c r="K241">
        <v>990</v>
      </c>
      <c r="O241">
        <v>1320</v>
      </c>
      <c r="R241">
        <v>35.408799999999999</v>
      </c>
      <c r="S241">
        <v>0</v>
      </c>
      <c r="T241">
        <v>77.171800000000005</v>
      </c>
      <c r="U241">
        <v>1</v>
      </c>
      <c r="V241">
        <v>190000000000</v>
      </c>
      <c r="AA241">
        <v>682</v>
      </c>
      <c r="AB241" t="b">
        <v>0</v>
      </c>
      <c r="AE241">
        <v>694</v>
      </c>
      <c r="AF241" t="b">
        <v>0</v>
      </c>
      <c r="AJ241" t="s">
        <v>541</v>
      </c>
      <c r="AM241">
        <v>4</v>
      </c>
      <c r="AT241" t="s">
        <v>542</v>
      </c>
      <c r="AU241" t="s">
        <v>120</v>
      </c>
      <c r="AV241" t="s">
        <v>540</v>
      </c>
      <c r="AW241">
        <v>35.4116</v>
      </c>
      <c r="AX241">
        <v>77.137299999999996</v>
      </c>
      <c r="AY241">
        <v>35.408799999999999</v>
      </c>
      <c r="AZ241">
        <v>77.171800000000005</v>
      </c>
      <c r="BB241" t="s">
        <v>280</v>
      </c>
      <c r="BC241" t="s">
        <v>134</v>
      </c>
      <c r="BF241">
        <v>1000000</v>
      </c>
    </row>
    <row r="242" spans="1:58" x14ac:dyDescent="0.2">
      <c r="A242">
        <v>3500</v>
      </c>
      <c r="B242">
        <v>4100</v>
      </c>
      <c r="C242">
        <v>2600</v>
      </c>
      <c r="D242">
        <v>60000</v>
      </c>
      <c r="E242">
        <v>299</v>
      </c>
      <c r="F242" t="s">
        <v>267</v>
      </c>
      <c r="H242">
        <v>299</v>
      </c>
      <c r="I242">
        <v>240</v>
      </c>
      <c r="J242">
        <v>320</v>
      </c>
      <c r="K242">
        <v>200</v>
      </c>
      <c r="O242">
        <v>430</v>
      </c>
      <c r="P242">
        <v>600</v>
      </c>
      <c r="Q242">
        <v>400</v>
      </c>
      <c r="R242">
        <v>50.7395</v>
      </c>
      <c r="S242">
        <v>0</v>
      </c>
      <c r="T242">
        <v>-116.7833</v>
      </c>
      <c r="U242">
        <v>0</v>
      </c>
      <c r="AA242">
        <v>488</v>
      </c>
      <c r="AB242" t="b">
        <v>1</v>
      </c>
      <c r="AE242">
        <v>0</v>
      </c>
      <c r="AJ242" t="s">
        <v>441</v>
      </c>
      <c r="AM242">
        <v>4</v>
      </c>
      <c r="AT242" t="s">
        <v>442</v>
      </c>
      <c r="AU242" t="s">
        <v>120</v>
      </c>
      <c r="AV242" t="s">
        <v>440</v>
      </c>
      <c r="AW242">
        <v>50.741100000000003</v>
      </c>
      <c r="AX242">
        <v>-116.77800000000001</v>
      </c>
      <c r="AY242">
        <v>50.7395</v>
      </c>
      <c r="AZ242">
        <v>-116.7833</v>
      </c>
      <c r="BB242" t="s">
        <v>312</v>
      </c>
      <c r="BC242" t="s">
        <v>191</v>
      </c>
      <c r="BD242">
        <v>23000</v>
      </c>
      <c r="BE242">
        <v>30000</v>
      </c>
      <c r="BF242">
        <v>18000</v>
      </c>
    </row>
    <row r="243" spans="1:58" x14ac:dyDescent="0.2">
      <c r="E243">
        <v>213</v>
      </c>
      <c r="F243" t="s">
        <v>299</v>
      </c>
      <c r="H243">
        <v>213</v>
      </c>
      <c r="R243">
        <v>47.005099999999999</v>
      </c>
      <c r="S243">
        <v>0.2</v>
      </c>
      <c r="T243">
        <v>10.972799999999999</v>
      </c>
      <c r="U243">
        <v>0</v>
      </c>
      <c r="AA243">
        <v>306</v>
      </c>
      <c r="AB243" t="b">
        <v>0</v>
      </c>
      <c r="AE243">
        <v>0</v>
      </c>
      <c r="AJ243" t="s">
        <v>301</v>
      </c>
      <c r="AM243">
        <v>4</v>
      </c>
      <c r="AT243" t="s">
        <v>302</v>
      </c>
      <c r="AU243" t="s">
        <v>143</v>
      </c>
      <c r="AV243" t="s">
        <v>300</v>
      </c>
      <c r="BB243" t="s">
        <v>303</v>
      </c>
      <c r="BC243" t="s">
        <v>134</v>
      </c>
      <c r="BD243">
        <v>150000</v>
      </c>
      <c r="BE243">
        <v>200000</v>
      </c>
      <c r="BF243">
        <v>100000</v>
      </c>
    </row>
    <row r="244" spans="1:58" x14ac:dyDescent="0.2">
      <c r="D244">
        <v>650000</v>
      </c>
      <c r="E244">
        <v>169</v>
      </c>
      <c r="F244" t="s">
        <v>365</v>
      </c>
      <c r="H244">
        <v>169</v>
      </c>
      <c r="R244">
        <v>41.487200000000001</v>
      </c>
      <c r="S244">
        <v>1.1000000000000001</v>
      </c>
      <c r="T244">
        <v>-109.7543</v>
      </c>
      <c r="U244">
        <v>1</v>
      </c>
      <c r="AA244">
        <v>500</v>
      </c>
      <c r="AB244" t="b">
        <v>0</v>
      </c>
      <c r="AE244">
        <v>272</v>
      </c>
      <c r="AF244" t="b">
        <v>0</v>
      </c>
      <c r="AJ244" t="s">
        <v>728</v>
      </c>
      <c r="AM244">
        <v>3</v>
      </c>
      <c r="AT244" t="s">
        <v>729</v>
      </c>
      <c r="AU244" t="s">
        <v>143</v>
      </c>
      <c r="AV244" t="s">
        <v>727</v>
      </c>
      <c r="BB244" t="s">
        <v>683</v>
      </c>
      <c r="BC244" t="s">
        <v>683</v>
      </c>
    </row>
    <row r="245" spans="1:58" x14ac:dyDescent="0.2">
      <c r="A245">
        <v>36000</v>
      </c>
      <c r="B245">
        <v>42000</v>
      </c>
      <c r="C245">
        <v>17000</v>
      </c>
      <c r="D245">
        <v>1100000</v>
      </c>
      <c r="E245">
        <v>51</v>
      </c>
      <c r="F245" t="s">
        <v>320</v>
      </c>
      <c r="H245">
        <v>51</v>
      </c>
      <c r="I245">
        <v>1400</v>
      </c>
      <c r="J245">
        <v>1460</v>
      </c>
      <c r="K245">
        <v>1300</v>
      </c>
      <c r="O245">
        <v>3800</v>
      </c>
      <c r="P245">
        <v>4400</v>
      </c>
      <c r="Q245">
        <v>3000</v>
      </c>
      <c r="R245">
        <v>59.981000000000002</v>
      </c>
      <c r="S245">
        <v>0.1</v>
      </c>
      <c r="T245">
        <v>-153.06353999999999</v>
      </c>
      <c r="U245">
        <v>0</v>
      </c>
      <c r="AA245">
        <v>13</v>
      </c>
      <c r="AB245" t="b">
        <v>1</v>
      </c>
      <c r="AE245">
        <v>0</v>
      </c>
      <c r="AJ245" t="s">
        <v>322</v>
      </c>
      <c r="AM245">
        <v>3</v>
      </c>
      <c r="AT245" t="s">
        <v>323</v>
      </c>
      <c r="AU245" t="s">
        <v>137</v>
      </c>
      <c r="AV245" t="s">
        <v>321</v>
      </c>
      <c r="AW245">
        <v>59.959499999999998</v>
      </c>
      <c r="AX245">
        <v>-153.01577</v>
      </c>
      <c r="AY245">
        <v>59.981000000000002</v>
      </c>
      <c r="AZ245">
        <v>-153.06353999999999</v>
      </c>
      <c r="BB245" t="s">
        <v>284</v>
      </c>
      <c r="BC245" t="s">
        <v>134</v>
      </c>
      <c r="BD245">
        <v>91000</v>
      </c>
      <c r="BE245">
        <v>140000</v>
      </c>
      <c r="BF245">
        <v>62000</v>
      </c>
    </row>
    <row r="246" spans="1:58" x14ac:dyDescent="0.2">
      <c r="E246">
        <v>66</v>
      </c>
      <c r="F246" t="s">
        <v>320</v>
      </c>
      <c r="H246">
        <v>66</v>
      </c>
      <c r="I246">
        <v>1400</v>
      </c>
      <c r="J246">
        <v>1460</v>
      </c>
      <c r="K246">
        <v>1300</v>
      </c>
      <c r="O246">
        <v>3800</v>
      </c>
      <c r="P246">
        <v>4400</v>
      </c>
      <c r="Q246">
        <v>3000</v>
      </c>
      <c r="R246">
        <v>59.981000000000002</v>
      </c>
      <c r="S246">
        <v>0.1</v>
      </c>
      <c r="T246">
        <v>-153.06353999999999</v>
      </c>
      <c r="U246">
        <v>0</v>
      </c>
      <c r="AA246">
        <v>57</v>
      </c>
      <c r="AB246" t="b">
        <v>1</v>
      </c>
      <c r="AE246">
        <v>0</v>
      </c>
      <c r="AJ246" t="s">
        <v>426</v>
      </c>
      <c r="AM246">
        <v>3</v>
      </c>
      <c r="AT246" t="s">
        <v>427</v>
      </c>
      <c r="AU246" t="s">
        <v>137</v>
      </c>
      <c r="AV246" t="s">
        <v>425</v>
      </c>
      <c r="AW246">
        <v>59.959499999999998</v>
      </c>
      <c r="AX246">
        <v>-153.01577</v>
      </c>
      <c r="AY246">
        <v>59.981000000000002</v>
      </c>
      <c r="AZ246">
        <v>-153.06353999999999</v>
      </c>
      <c r="BB246" t="s">
        <v>284</v>
      </c>
      <c r="BC246" t="s">
        <v>134</v>
      </c>
      <c r="BD246">
        <v>130000</v>
      </c>
      <c r="BE246">
        <v>190000</v>
      </c>
      <c r="BF246">
        <v>86000</v>
      </c>
    </row>
    <row r="247" spans="1:58" x14ac:dyDescent="0.2">
      <c r="E247">
        <v>67</v>
      </c>
      <c r="F247" t="s">
        <v>320</v>
      </c>
      <c r="H247">
        <v>67</v>
      </c>
      <c r="I247">
        <v>1400</v>
      </c>
      <c r="J247">
        <v>1460</v>
      </c>
      <c r="K247">
        <v>1300</v>
      </c>
      <c r="O247">
        <v>3800</v>
      </c>
      <c r="P247">
        <v>4400</v>
      </c>
      <c r="Q247">
        <v>3000</v>
      </c>
      <c r="R247">
        <v>59.981000000000002</v>
      </c>
      <c r="S247">
        <v>0.1</v>
      </c>
      <c r="T247">
        <v>-153.06353999999999</v>
      </c>
      <c r="U247">
        <v>2</v>
      </c>
      <c r="AA247">
        <v>13</v>
      </c>
      <c r="AB247" t="b">
        <v>1</v>
      </c>
      <c r="AE247">
        <v>157</v>
      </c>
      <c r="AF247" t="b">
        <v>1</v>
      </c>
      <c r="AJ247" t="s">
        <v>839</v>
      </c>
      <c r="AM247">
        <v>3</v>
      </c>
      <c r="AT247" t="s">
        <v>840</v>
      </c>
      <c r="AU247" t="s">
        <v>137</v>
      </c>
      <c r="AV247" t="s">
        <v>838</v>
      </c>
      <c r="AW247">
        <v>59.959499999999998</v>
      </c>
      <c r="AX247">
        <v>-153.01577</v>
      </c>
      <c r="AY247">
        <v>59.981000000000002</v>
      </c>
      <c r="AZ247">
        <v>-153.06353999999999</v>
      </c>
      <c r="BB247" t="s">
        <v>284</v>
      </c>
      <c r="BC247" t="s">
        <v>134</v>
      </c>
      <c r="BD247">
        <v>42000</v>
      </c>
      <c r="BE247">
        <v>63000</v>
      </c>
      <c r="BF247">
        <v>29000</v>
      </c>
    </row>
    <row r="248" spans="1:58" x14ac:dyDescent="0.2">
      <c r="E248">
        <v>68</v>
      </c>
      <c r="F248" t="s">
        <v>320</v>
      </c>
      <c r="H248">
        <v>68</v>
      </c>
      <c r="I248">
        <v>1400</v>
      </c>
      <c r="J248">
        <v>1460</v>
      </c>
      <c r="K248">
        <v>1300</v>
      </c>
      <c r="O248">
        <v>3800</v>
      </c>
      <c r="P248">
        <v>4400</v>
      </c>
      <c r="Q248">
        <v>3000</v>
      </c>
      <c r="R248">
        <v>59.981000000000002</v>
      </c>
      <c r="S248">
        <v>0.1</v>
      </c>
      <c r="T248">
        <v>-153.06353999999999</v>
      </c>
      <c r="U248">
        <v>0</v>
      </c>
      <c r="AA248">
        <v>73</v>
      </c>
      <c r="AB248" t="b">
        <v>1</v>
      </c>
      <c r="AE248">
        <v>0</v>
      </c>
      <c r="AJ248" t="s">
        <v>496</v>
      </c>
      <c r="AL248" s="7" t="s">
        <v>497</v>
      </c>
      <c r="AM248">
        <v>3</v>
      </c>
      <c r="AT248" t="s">
        <v>498</v>
      </c>
      <c r="AU248" t="s">
        <v>137</v>
      </c>
      <c r="AV248" t="s">
        <v>495</v>
      </c>
      <c r="AW248">
        <v>59.959499999999998</v>
      </c>
      <c r="AX248">
        <v>-153.01577</v>
      </c>
      <c r="AY248">
        <v>59.981000000000002</v>
      </c>
      <c r="AZ248">
        <v>-153.06353999999999</v>
      </c>
      <c r="BB248" t="s">
        <v>284</v>
      </c>
      <c r="BC248" t="s">
        <v>134</v>
      </c>
      <c r="BD248">
        <v>37000</v>
      </c>
      <c r="BE248">
        <v>56000</v>
      </c>
      <c r="BF248">
        <v>25000</v>
      </c>
    </row>
    <row r="249" spans="1:58" x14ac:dyDescent="0.2">
      <c r="E249">
        <v>69</v>
      </c>
      <c r="F249" t="s">
        <v>320</v>
      </c>
      <c r="H249">
        <v>69</v>
      </c>
      <c r="I249">
        <v>1400</v>
      </c>
      <c r="J249">
        <v>1460</v>
      </c>
      <c r="K249">
        <v>1300</v>
      </c>
      <c r="O249">
        <v>3800</v>
      </c>
      <c r="P249">
        <v>4400</v>
      </c>
      <c r="Q249">
        <v>3000</v>
      </c>
      <c r="R249">
        <v>59.981000000000002</v>
      </c>
      <c r="S249">
        <v>0.1</v>
      </c>
      <c r="T249">
        <v>-153.06353999999999</v>
      </c>
      <c r="U249">
        <v>0</v>
      </c>
      <c r="AA249">
        <v>52</v>
      </c>
      <c r="AB249" t="b">
        <v>1</v>
      </c>
      <c r="AE249">
        <v>0</v>
      </c>
      <c r="AJ249" t="s">
        <v>556</v>
      </c>
      <c r="AM249">
        <v>3</v>
      </c>
      <c r="AT249" t="s">
        <v>557</v>
      </c>
      <c r="AU249" t="s">
        <v>137</v>
      </c>
      <c r="AV249" t="s">
        <v>555</v>
      </c>
      <c r="AW249">
        <v>59.959499999999998</v>
      </c>
      <c r="AX249">
        <v>-153.01577</v>
      </c>
      <c r="AY249">
        <v>59.981000000000002</v>
      </c>
      <c r="AZ249">
        <v>-153.06353999999999</v>
      </c>
      <c r="BB249" t="s">
        <v>284</v>
      </c>
      <c r="BC249" t="s">
        <v>134</v>
      </c>
      <c r="BD249">
        <v>62000</v>
      </c>
      <c r="BE249">
        <v>93000</v>
      </c>
      <c r="BF249">
        <v>42000</v>
      </c>
    </row>
    <row r="250" spans="1:58" x14ac:dyDescent="0.2">
      <c r="E250">
        <v>70</v>
      </c>
      <c r="F250" t="s">
        <v>320</v>
      </c>
      <c r="H250">
        <v>70</v>
      </c>
      <c r="I250">
        <v>1400</v>
      </c>
      <c r="J250">
        <v>1460</v>
      </c>
      <c r="K250">
        <v>1300</v>
      </c>
      <c r="O250">
        <v>3800</v>
      </c>
      <c r="P250">
        <v>4400</v>
      </c>
      <c r="Q250">
        <v>3000</v>
      </c>
      <c r="R250">
        <v>59.981000000000002</v>
      </c>
      <c r="S250">
        <v>0.1</v>
      </c>
      <c r="T250">
        <v>-153.06353999999999</v>
      </c>
      <c r="U250">
        <v>0</v>
      </c>
      <c r="AA250">
        <v>52</v>
      </c>
      <c r="AB250" t="b">
        <v>1</v>
      </c>
      <c r="AE250">
        <v>0</v>
      </c>
      <c r="AJ250" t="s">
        <v>1052</v>
      </c>
      <c r="AM250">
        <v>3</v>
      </c>
      <c r="AT250" t="s">
        <v>1053</v>
      </c>
      <c r="AU250" t="s">
        <v>137</v>
      </c>
      <c r="AV250" t="s">
        <v>1051</v>
      </c>
      <c r="AW250">
        <v>59.959499999999998</v>
      </c>
      <c r="AX250">
        <v>-153.01577</v>
      </c>
      <c r="AY250">
        <v>59.981000000000002</v>
      </c>
      <c r="AZ250">
        <v>-153.06353999999999</v>
      </c>
      <c r="BB250" t="s">
        <v>284</v>
      </c>
      <c r="BC250" t="s">
        <v>134</v>
      </c>
      <c r="BD250">
        <v>52000</v>
      </c>
      <c r="BE250">
        <v>77000</v>
      </c>
      <c r="BF250">
        <v>35000</v>
      </c>
    </row>
    <row r="251" spans="1:58" x14ac:dyDescent="0.2">
      <c r="E251">
        <v>71</v>
      </c>
      <c r="F251" t="s">
        <v>320</v>
      </c>
      <c r="H251">
        <v>71</v>
      </c>
      <c r="I251">
        <v>1400</v>
      </c>
      <c r="J251">
        <v>1460</v>
      </c>
      <c r="K251">
        <v>1300</v>
      </c>
      <c r="O251">
        <v>3800</v>
      </c>
      <c r="P251">
        <v>4400</v>
      </c>
      <c r="Q251">
        <v>3000</v>
      </c>
      <c r="R251">
        <v>59.981000000000002</v>
      </c>
      <c r="S251">
        <v>0.1</v>
      </c>
      <c r="T251">
        <v>-153.06353999999999</v>
      </c>
      <c r="U251">
        <v>0</v>
      </c>
      <c r="AA251">
        <v>66</v>
      </c>
      <c r="AB251" t="b">
        <v>1</v>
      </c>
      <c r="AE251">
        <v>0</v>
      </c>
      <c r="AJ251" t="s">
        <v>778</v>
      </c>
      <c r="AM251">
        <v>3</v>
      </c>
      <c r="AT251" t="s">
        <v>779</v>
      </c>
      <c r="AU251" t="s">
        <v>137</v>
      </c>
      <c r="AV251" t="s">
        <v>777</v>
      </c>
      <c r="AW251">
        <v>59.959499999999998</v>
      </c>
      <c r="AX251">
        <v>-153.01577</v>
      </c>
      <c r="AY251">
        <v>59.981000000000002</v>
      </c>
      <c r="AZ251">
        <v>-153.06353999999999</v>
      </c>
      <c r="BB251" t="s">
        <v>284</v>
      </c>
      <c r="BC251" t="s">
        <v>134</v>
      </c>
      <c r="BD251">
        <v>160000</v>
      </c>
      <c r="BE251">
        <v>250000</v>
      </c>
      <c r="BF251">
        <v>110000</v>
      </c>
    </row>
    <row r="252" spans="1:58" x14ac:dyDescent="0.2">
      <c r="E252">
        <v>72</v>
      </c>
      <c r="F252" t="s">
        <v>320</v>
      </c>
      <c r="H252">
        <v>72</v>
      </c>
      <c r="I252">
        <v>1400</v>
      </c>
      <c r="J252">
        <v>1460</v>
      </c>
      <c r="K252">
        <v>1300</v>
      </c>
      <c r="O252">
        <v>3800</v>
      </c>
      <c r="P252">
        <v>4400</v>
      </c>
      <c r="Q252">
        <v>3000</v>
      </c>
      <c r="R252">
        <v>59.981000000000002</v>
      </c>
      <c r="S252">
        <v>0.1</v>
      </c>
      <c r="T252">
        <v>-153.06353999999999</v>
      </c>
      <c r="U252">
        <v>0</v>
      </c>
      <c r="AA252">
        <v>52</v>
      </c>
      <c r="AB252" t="b">
        <v>1</v>
      </c>
      <c r="AE252">
        <v>0</v>
      </c>
      <c r="AJ252" t="s">
        <v>325</v>
      </c>
      <c r="AM252">
        <v>3</v>
      </c>
      <c r="AT252" t="s">
        <v>326</v>
      </c>
      <c r="AU252" t="s">
        <v>137</v>
      </c>
      <c r="AV252" t="s">
        <v>324</v>
      </c>
      <c r="AW252">
        <v>59.959499999999998</v>
      </c>
      <c r="AX252">
        <v>-153.01577</v>
      </c>
      <c r="AY252">
        <v>59.981000000000002</v>
      </c>
      <c r="AZ252">
        <v>-153.06353999999999</v>
      </c>
      <c r="BB252" t="s">
        <v>284</v>
      </c>
      <c r="BC252" t="s">
        <v>134</v>
      </c>
      <c r="BD252">
        <v>44000</v>
      </c>
      <c r="BE252">
        <v>66000</v>
      </c>
      <c r="BF252">
        <v>30000</v>
      </c>
    </row>
    <row r="253" spans="1:58" x14ac:dyDescent="0.2">
      <c r="E253">
        <v>289</v>
      </c>
      <c r="F253" t="s">
        <v>267</v>
      </c>
      <c r="H253">
        <v>289</v>
      </c>
      <c r="R253">
        <v>45.366300000000003</v>
      </c>
      <c r="S253">
        <v>0.2</v>
      </c>
      <c r="T253">
        <v>-121.69750000000001</v>
      </c>
      <c r="U253">
        <v>0</v>
      </c>
      <c r="AA253">
        <v>35</v>
      </c>
      <c r="AB253" t="b">
        <v>1</v>
      </c>
      <c r="AE253">
        <v>0</v>
      </c>
      <c r="AJ253" t="s">
        <v>903</v>
      </c>
      <c r="AM253">
        <v>2</v>
      </c>
      <c r="AT253" t="s">
        <v>904</v>
      </c>
      <c r="AU253" t="s">
        <v>120</v>
      </c>
      <c r="AV253" t="s">
        <v>902</v>
      </c>
      <c r="BB253" t="s">
        <v>312</v>
      </c>
      <c r="BC253" t="s">
        <v>191</v>
      </c>
    </row>
    <row r="254" spans="1:58" x14ac:dyDescent="0.2">
      <c r="E254">
        <v>232</v>
      </c>
      <c r="F254" t="s">
        <v>455</v>
      </c>
      <c r="H254">
        <v>232</v>
      </c>
      <c r="R254">
        <v>47.0809</v>
      </c>
      <c r="S254">
        <v>1.2</v>
      </c>
      <c r="T254">
        <v>11.335900000000001</v>
      </c>
      <c r="U254">
        <v>0</v>
      </c>
      <c r="AA254">
        <v>114</v>
      </c>
      <c r="AB254" t="b">
        <v>0</v>
      </c>
      <c r="AE254">
        <v>0</v>
      </c>
      <c r="AJ254" t="s">
        <v>457</v>
      </c>
      <c r="AM254">
        <v>3</v>
      </c>
      <c r="AT254" t="s">
        <v>458</v>
      </c>
      <c r="AU254" t="s">
        <v>143</v>
      </c>
      <c r="AV254" t="s">
        <v>456</v>
      </c>
      <c r="BB254" t="s">
        <v>303</v>
      </c>
      <c r="BC254" t="s">
        <v>134</v>
      </c>
    </row>
    <row r="255" spans="1:58" x14ac:dyDescent="0.2">
      <c r="D255">
        <v>200000</v>
      </c>
      <c r="E255">
        <v>179</v>
      </c>
      <c r="F255" t="s">
        <v>267</v>
      </c>
      <c r="H255">
        <v>179</v>
      </c>
      <c r="I255">
        <v>600</v>
      </c>
      <c r="O255">
        <v>1200</v>
      </c>
      <c r="R255">
        <v>46.858499999999999</v>
      </c>
      <c r="S255">
        <v>0.35</v>
      </c>
      <c r="T255">
        <v>-121.78570000000001</v>
      </c>
      <c r="U255">
        <v>0</v>
      </c>
      <c r="AA255">
        <v>12</v>
      </c>
      <c r="AB255" t="b">
        <v>1</v>
      </c>
      <c r="AE255">
        <v>0</v>
      </c>
      <c r="AG255">
        <v>0</v>
      </c>
      <c r="AI255" t="b">
        <v>0</v>
      </c>
      <c r="AJ255" t="s">
        <v>641</v>
      </c>
      <c r="AM255">
        <v>2</v>
      </c>
      <c r="AT255" t="s">
        <v>642</v>
      </c>
      <c r="AU255" t="s">
        <v>143</v>
      </c>
      <c r="AV255" t="s">
        <v>640</v>
      </c>
      <c r="AW255">
        <v>46.853499999999997</v>
      </c>
      <c r="AX255">
        <v>-121.7991</v>
      </c>
      <c r="AY255">
        <v>46.860999999999997</v>
      </c>
      <c r="AZ255">
        <v>-121.7872</v>
      </c>
      <c r="BB255" t="s">
        <v>374</v>
      </c>
      <c r="BC255" t="s">
        <v>375</v>
      </c>
    </row>
    <row r="256" spans="1:58" x14ac:dyDescent="0.2">
      <c r="E256">
        <v>17</v>
      </c>
      <c r="F256" t="s">
        <v>320</v>
      </c>
      <c r="H256">
        <v>17</v>
      </c>
      <c r="R256">
        <v>46.059699999999999</v>
      </c>
      <c r="S256">
        <v>0</v>
      </c>
      <c r="T256">
        <v>-122.26033</v>
      </c>
      <c r="U256">
        <v>0</v>
      </c>
      <c r="AA256">
        <v>85</v>
      </c>
      <c r="AB256" t="b">
        <v>1</v>
      </c>
      <c r="AE256">
        <v>0</v>
      </c>
      <c r="AJ256" t="s">
        <v>208</v>
      </c>
      <c r="AM256">
        <v>3</v>
      </c>
      <c r="AT256" t="s">
        <v>209</v>
      </c>
      <c r="AU256" t="s">
        <v>137</v>
      </c>
      <c r="AV256" t="s">
        <v>926</v>
      </c>
      <c r="BB256" t="s">
        <v>210</v>
      </c>
      <c r="BC256" t="s">
        <v>122</v>
      </c>
      <c r="BD256">
        <v>3000000</v>
      </c>
    </row>
    <row r="257" spans="1:58" x14ac:dyDescent="0.2">
      <c r="E257">
        <v>178</v>
      </c>
      <c r="F257" t="s">
        <v>267</v>
      </c>
      <c r="H257">
        <v>178</v>
      </c>
      <c r="R257">
        <v>46.819099999999999</v>
      </c>
      <c r="S257">
        <v>0.2</v>
      </c>
      <c r="T257">
        <v>-121.81</v>
      </c>
      <c r="U257">
        <v>0</v>
      </c>
      <c r="Y257">
        <v>13</v>
      </c>
      <c r="Z257">
        <v>1</v>
      </c>
      <c r="AA257">
        <v>18</v>
      </c>
      <c r="AB257" t="b">
        <v>1</v>
      </c>
      <c r="AE257">
        <v>0</v>
      </c>
      <c r="AG257">
        <v>0</v>
      </c>
      <c r="AI257" t="b">
        <v>0</v>
      </c>
      <c r="AJ257" t="s">
        <v>211</v>
      </c>
      <c r="AM257">
        <v>3</v>
      </c>
      <c r="AT257" t="s">
        <v>212</v>
      </c>
      <c r="AU257" t="s">
        <v>143</v>
      </c>
      <c r="AV257" t="s">
        <v>985</v>
      </c>
      <c r="AY257">
        <v>46.819099999999999</v>
      </c>
      <c r="AZ257">
        <v>-121.81</v>
      </c>
      <c r="BB257" t="s">
        <v>167</v>
      </c>
      <c r="BC257" t="s">
        <v>122</v>
      </c>
    </row>
    <row r="258" spans="1:58" x14ac:dyDescent="0.2">
      <c r="A258">
        <v>35000</v>
      </c>
      <c r="B258">
        <v>41000</v>
      </c>
      <c r="C258">
        <v>27000</v>
      </c>
      <c r="D258">
        <v>1700000</v>
      </c>
      <c r="E258">
        <v>134</v>
      </c>
      <c r="F258" t="s">
        <v>267</v>
      </c>
      <c r="H258">
        <v>134</v>
      </c>
      <c r="I258">
        <v>730</v>
      </c>
      <c r="J258">
        <v>820</v>
      </c>
      <c r="K258">
        <v>630</v>
      </c>
      <c r="O258">
        <v>2000</v>
      </c>
      <c r="P258">
        <v>2200</v>
      </c>
      <c r="Q258">
        <v>1700</v>
      </c>
      <c r="R258">
        <v>59.219949999999997</v>
      </c>
      <c r="S258">
        <v>0</v>
      </c>
      <c r="T258">
        <v>-136.17013</v>
      </c>
      <c r="U258">
        <v>1</v>
      </c>
      <c r="AA258">
        <v>500</v>
      </c>
      <c r="AB258" t="b">
        <v>0</v>
      </c>
      <c r="AE258">
        <v>500</v>
      </c>
      <c r="AF258" t="b">
        <v>0</v>
      </c>
      <c r="AJ258" t="s">
        <v>678</v>
      </c>
      <c r="AM258">
        <v>4</v>
      </c>
      <c r="AT258" t="s">
        <v>679</v>
      </c>
      <c r="AU258" t="s">
        <v>120</v>
      </c>
      <c r="AV258" t="s">
        <v>677</v>
      </c>
      <c r="AW258">
        <v>59.218530000000001</v>
      </c>
      <c r="AX258">
        <v>-136.13273000000001</v>
      </c>
      <c r="AY258">
        <v>59.219949999999997</v>
      </c>
      <c r="AZ258">
        <v>-136.17013</v>
      </c>
      <c r="BB258" t="s">
        <v>284</v>
      </c>
      <c r="BC258" t="s">
        <v>134</v>
      </c>
      <c r="BD258">
        <v>600000</v>
      </c>
      <c r="BE258">
        <v>800000</v>
      </c>
      <c r="BF258">
        <v>450000</v>
      </c>
    </row>
    <row r="259" spans="1:58" x14ac:dyDescent="0.2">
      <c r="A259">
        <v>33000</v>
      </c>
      <c r="B259">
        <v>45000</v>
      </c>
      <c r="C259">
        <v>12000</v>
      </c>
      <c r="D259">
        <v>1700000</v>
      </c>
      <c r="E259">
        <v>150</v>
      </c>
      <c r="F259" t="s">
        <v>267</v>
      </c>
      <c r="H259">
        <v>150</v>
      </c>
      <c r="I259">
        <v>1380</v>
      </c>
      <c r="J259">
        <v>1400</v>
      </c>
      <c r="K259">
        <v>1200</v>
      </c>
      <c r="O259">
        <v>2700</v>
      </c>
      <c r="R259">
        <v>58.694800000000001</v>
      </c>
      <c r="S259">
        <v>0</v>
      </c>
      <c r="T259">
        <v>-133.39189999999999</v>
      </c>
      <c r="U259">
        <v>1</v>
      </c>
      <c r="V259">
        <v>20000000000</v>
      </c>
      <c r="AA259">
        <v>500</v>
      </c>
      <c r="AB259" t="b">
        <v>0</v>
      </c>
      <c r="AE259">
        <v>500</v>
      </c>
      <c r="AF259" t="b">
        <v>0</v>
      </c>
      <c r="AG259">
        <v>102</v>
      </c>
      <c r="AH259" t="b">
        <v>1</v>
      </c>
      <c r="AI259" t="b">
        <v>1</v>
      </c>
      <c r="AJ259" t="s">
        <v>519</v>
      </c>
      <c r="AM259">
        <v>4</v>
      </c>
      <c r="AT259" t="s">
        <v>520</v>
      </c>
      <c r="AU259" t="s">
        <v>143</v>
      </c>
      <c r="AV259" t="s">
        <v>518</v>
      </c>
      <c r="AW259">
        <v>58.714799999999997</v>
      </c>
      <c r="AX259">
        <v>-133.41489999999999</v>
      </c>
      <c r="AY259">
        <v>58.694800000000001</v>
      </c>
      <c r="AZ259">
        <v>-133.39189999999999</v>
      </c>
      <c r="BB259" t="s">
        <v>284</v>
      </c>
      <c r="BC259" t="s">
        <v>134</v>
      </c>
      <c r="BD259">
        <v>600000</v>
      </c>
      <c r="BE259">
        <v>6600000</v>
      </c>
      <c r="BF259">
        <v>240000</v>
      </c>
    </row>
    <row r="260" spans="1:58" x14ac:dyDescent="0.2">
      <c r="E260">
        <v>236</v>
      </c>
      <c r="F260" t="s">
        <v>436</v>
      </c>
      <c r="H260">
        <v>236</v>
      </c>
      <c r="I260">
        <v>320</v>
      </c>
      <c r="O260">
        <v>550</v>
      </c>
      <c r="R260">
        <v>46.749000000000002</v>
      </c>
      <c r="S260">
        <v>0.05</v>
      </c>
      <c r="T260">
        <v>9.0677000000000003</v>
      </c>
      <c r="U260">
        <v>0</v>
      </c>
      <c r="AA260">
        <v>148</v>
      </c>
      <c r="AB260" t="b">
        <v>0</v>
      </c>
      <c r="AE260">
        <v>0</v>
      </c>
      <c r="AJ260" t="s">
        <v>970</v>
      </c>
      <c r="AM260">
        <v>4</v>
      </c>
      <c r="AT260" t="s">
        <v>971</v>
      </c>
      <c r="AU260" t="s">
        <v>143</v>
      </c>
      <c r="AV260" t="s">
        <v>969</v>
      </c>
      <c r="AW260">
        <v>46.754899999999999</v>
      </c>
      <c r="AX260">
        <v>9.0684000000000005</v>
      </c>
      <c r="AY260">
        <v>46.749000000000002</v>
      </c>
      <c r="AZ260">
        <v>9.0677000000000003</v>
      </c>
      <c r="BB260" t="s">
        <v>303</v>
      </c>
      <c r="BC260" t="s">
        <v>134</v>
      </c>
      <c r="BD260">
        <v>90000</v>
      </c>
      <c r="BE260">
        <v>108000</v>
      </c>
      <c r="BF260">
        <v>72000</v>
      </c>
    </row>
    <row r="261" spans="1:58" x14ac:dyDescent="0.2">
      <c r="E261">
        <v>237</v>
      </c>
      <c r="F261" t="s">
        <v>630</v>
      </c>
      <c r="H261">
        <v>237</v>
      </c>
      <c r="I261">
        <v>1410</v>
      </c>
      <c r="K261">
        <v>1300</v>
      </c>
      <c r="O261">
        <v>2600</v>
      </c>
      <c r="P261">
        <v>3000</v>
      </c>
      <c r="R261">
        <v>46.493209999999998</v>
      </c>
      <c r="S261">
        <v>0.2</v>
      </c>
      <c r="T261">
        <v>10.524940000000001</v>
      </c>
      <c r="U261">
        <v>1</v>
      </c>
      <c r="AA261">
        <v>223</v>
      </c>
      <c r="AB261" t="b">
        <v>0</v>
      </c>
      <c r="AE261">
        <v>223</v>
      </c>
      <c r="AF261" t="b">
        <v>1</v>
      </c>
      <c r="AJ261" t="s">
        <v>632</v>
      </c>
      <c r="AM261">
        <v>5</v>
      </c>
      <c r="AT261" t="s">
        <v>633</v>
      </c>
      <c r="AU261" t="s">
        <v>143</v>
      </c>
      <c r="AV261" t="s">
        <v>631</v>
      </c>
      <c r="BB261" t="s">
        <v>284</v>
      </c>
      <c r="BC261" t="s">
        <v>134</v>
      </c>
      <c r="BD261">
        <v>2000000</v>
      </c>
      <c r="BE261">
        <v>2400000</v>
      </c>
      <c r="BF261">
        <v>1600000</v>
      </c>
    </row>
    <row r="262" spans="1:58" x14ac:dyDescent="0.2">
      <c r="E262">
        <v>231</v>
      </c>
      <c r="F262" t="s">
        <v>858</v>
      </c>
      <c r="H262">
        <v>231</v>
      </c>
      <c r="R262">
        <v>47.088999999999999</v>
      </c>
      <c r="S262">
        <v>0.15</v>
      </c>
      <c r="T262">
        <v>11.3634</v>
      </c>
      <c r="U262">
        <v>0</v>
      </c>
      <c r="AA262">
        <v>169</v>
      </c>
      <c r="AB262" t="b">
        <v>0</v>
      </c>
      <c r="AE262">
        <v>0</v>
      </c>
      <c r="AJ262" t="s">
        <v>860</v>
      </c>
      <c r="AM262">
        <v>3</v>
      </c>
      <c r="AT262" t="s">
        <v>861</v>
      </c>
      <c r="AU262" t="s">
        <v>143</v>
      </c>
      <c r="AV262" t="s">
        <v>859</v>
      </c>
      <c r="BB262" t="s">
        <v>303</v>
      </c>
      <c r="BC262" t="s">
        <v>134</v>
      </c>
    </row>
    <row r="263" spans="1:58" x14ac:dyDescent="0.2">
      <c r="A263">
        <v>22000</v>
      </c>
      <c r="B263">
        <v>33000</v>
      </c>
      <c r="C263">
        <v>15000</v>
      </c>
      <c r="D263">
        <v>370000</v>
      </c>
      <c r="E263">
        <v>161</v>
      </c>
      <c r="F263" t="s">
        <v>267</v>
      </c>
      <c r="H263">
        <v>161</v>
      </c>
      <c r="I263">
        <v>1300</v>
      </c>
      <c r="J263">
        <v>1400</v>
      </c>
      <c r="K263">
        <v>1200</v>
      </c>
      <c r="O263">
        <v>2500</v>
      </c>
      <c r="P263">
        <v>2600</v>
      </c>
      <c r="Q263">
        <v>2400</v>
      </c>
      <c r="R263">
        <v>60.028500000000001</v>
      </c>
      <c r="S263">
        <v>0</v>
      </c>
      <c r="T263">
        <v>-153.0924</v>
      </c>
      <c r="U263">
        <v>0</v>
      </c>
      <c r="AA263">
        <v>285</v>
      </c>
      <c r="AB263" t="b">
        <v>1</v>
      </c>
      <c r="AE263">
        <v>0</v>
      </c>
      <c r="AG263">
        <v>0</v>
      </c>
      <c r="AI263" t="b">
        <v>0</v>
      </c>
      <c r="AJ263" t="s">
        <v>353</v>
      </c>
      <c r="AM263">
        <v>4</v>
      </c>
      <c r="AT263" t="s">
        <v>354</v>
      </c>
      <c r="AU263" t="s">
        <v>143</v>
      </c>
      <c r="AV263" t="s">
        <v>352</v>
      </c>
      <c r="AW263">
        <v>60.011099999999999</v>
      </c>
      <c r="AX263">
        <v>-153.11590000000001</v>
      </c>
      <c r="AY263">
        <v>60.028500000000001</v>
      </c>
      <c r="AZ263">
        <v>-153.0924</v>
      </c>
      <c r="BB263" t="s">
        <v>284</v>
      </c>
      <c r="BC263" t="s">
        <v>134</v>
      </c>
      <c r="BD263">
        <v>310000</v>
      </c>
      <c r="BE263">
        <v>450000</v>
      </c>
      <c r="BF263">
        <v>220000</v>
      </c>
    </row>
    <row r="264" spans="1:58" x14ac:dyDescent="0.2">
      <c r="E264">
        <v>56</v>
      </c>
      <c r="F264" t="s">
        <v>320</v>
      </c>
      <c r="H264">
        <v>56</v>
      </c>
      <c r="I264">
        <v>880</v>
      </c>
      <c r="O264">
        <v>1800</v>
      </c>
      <c r="R264">
        <v>60.027200000000001</v>
      </c>
      <c r="S264">
        <v>0.3</v>
      </c>
      <c r="T264">
        <v>-153.08670000000001</v>
      </c>
      <c r="U264">
        <v>2</v>
      </c>
      <c r="AA264">
        <v>67</v>
      </c>
      <c r="AB264" t="b">
        <v>1</v>
      </c>
      <c r="AE264">
        <v>500</v>
      </c>
      <c r="AF264" t="b">
        <v>0</v>
      </c>
      <c r="AJ264" t="s">
        <v>353</v>
      </c>
      <c r="AM264">
        <v>5</v>
      </c>
      <c r="AT264" t="s">
        <v>925</v>
      </c>
      <c r="AU264" t="s">
        <v>137</v>
      </c>
      <c r="AV264" t="s">
        <v>924</v>
      </c>
      <c r="AW264">
        <v>60.01388</v>
      </c>
      <c r="AX264">
        <v>-153.10749999999999</v>
      </c>
      <c r="AY264">
        <v>60.027200000000001</v>
      </c>
      <c r="AZ264">
        <v>-153.08670000000001</v>
      </c>
      <c r="BB264" t="s">
        <v>271</v>
      </c>
      <c r="BC264" t="s">
        <v>134</v>
      </c>
      <c r="BD264">
        <v>130000</v>
      </c>
      <c r="BE264">
        <v>150000</v>
      </c>
      <c r="BF264">
        <v>100000</v>
      </c>
    </row>
    <row r="265" spans="1:58" x14ac:dyDescent="0.2">
      <c r="E265">
        <v>55</v>
      </c>
      <c r="F265" t="s">
        <v>320</v>
      </c>
      <c r="H265">
        <v>55</v>
      </c>
      <c r="I265">
        <v>1700</v>
      </c>
      <c r="O265">
        <v>6200</v>
      </c>
      <c r="R265">
        <v>60.026200000000003</v>
      </c>
      <c r="S265">
        <v>0.3</v>
      </c>
      <c r="T265">
        <v>-153.08860000000001</v>
      </c>
      <c r="U265">
        <v>2</v>
      </c>
      <c r="AA265">
        <v>185</v>
      </c>
      <c r="AB265" t="b">
        <v>1</v>
      </c>
      <c r="AE265">
        <v>478</v>
      </c>
      <c r="AF265" t="b">
        <v>1</v>
      </c>
      <c r="AJ265" t="s">
        <v>353</v>
      </c>
      <c r="AM265">
        <v>5</v>
      </c>
      <c r="AT265" t="s">
        <v>987</v>
      </c>
      <c r="AU265" t="s">
        <v>137</v>
      </c>
      <c r="AV265" t="s">
        <v>986</v>
      </c>
      <c r="AW265">
        <v>59.9953</v>
      </c>
      <c r="AX265">
        <v>-153.16579999999999</v>
      </c>
      <c r="AY265">
        <v>60.026200000000003</v>
      </c>
      <c r="AZ265">
        <v>-153.08860000000001</v>
      </c>
      <c r="BB265" t="s">
        <v>341</v>
      </c>
      <c r="BC265" t="s">
        <v>134</v>
      </c>
      <c r="BD265">
        <v>3500000</v>
      </c>
      <c r="BE265">
        <v>5000000</v>
      </c>
      <c r="BF265">
        <v>2500000</v>
      </c>
    </row>
    <row r="266" spans="1:58" x14ac:dyDescent="0.2">
      <c r="D266">
        <v>9.5399999999999991</v>
      </c>
      <c r="E266">
        <v>142</v>
      </c>
      <c r="F266" t="s">
        <v>267</v>
      </c>
      <c r="H266">
        <v>142</v>
      </c>
      <c r="R266">
        <v>44.215020000000003</v>
      </c>
      <c r="S266">
        <v>0</v>
      </c>
      <c r="T266">
        <v>-122.25469</v>
      </c>
      <c r="U266">
        <v>0</v>
      </c>
      <c r="Y266">
        <v>5.9279999999999999E-2</v>
      </c>
      <c r="AE266">
        <v>0</v>
      </c>
      <c r="AG266">
        <v>0</v>
      </c>
      <c r="AI266" t="b">
        <v>0</v>
      </c>
      <c r="AJ266" t="s">
        <v>644</v>
      </c>
      <c r="AM266">
        <v>5</v>
      </c>
      <c r="AT266" t="s">
        <v>645</v>
      </c>
      <c r="AU266" t="s">
        <v>143</v>
      </c>
      <c r="AV266" t="s">
        <v>643</v>
      </c>
      <c r="AY266">
        <v>44.215020000000003</v>
      </c>
      <c r="AZ266">
        <v>-122.25469</v>
      </c>
      <c r="BB266" t="s">
        <v>486</v>
      </c>
      <c r="BC266" t="s">
        <v>122</v>
      </c>
      <c r="BD266">
        <v>10</v>
      </c>
      <c r="BE266">
        <v>10</v>
      </c>
      <c r="BF266">
        <v>10</v>
      </c>
    </row>
    <row r="267" spans="1:58" x14ac:dyDescent="0.2">
      <c r="D267">
        <v>9.32</v>
      </c>
      <c r="E267">
        <v>137</v>
      </c>
      <c r="F267" t="s">
        <v>267</v>
      </c>
      <c r="H267">
        <v>137</v>
      </c>
      <c r="R267">
        <v>44.215020000000003</v>
      </c>
      <c r="S267">
        <v>0</v>
      </c>
      <c r="T267">
        <v>-122.25469</v>
      </c>
      <c r="U267">
        <v>0</v>
      </c>
      <c r="Y267">
        <v>5.9279999999999999E-2</v>
      </c>
      <c r="AE267">
        <v>0</v>
      </c>
      <c r="AG267">
        <v>0</v>
      </c>
      <c r="AI267" t="b">
        <v>0</v>
      </c>
      <c r="AJ267" t="s">
        <v>644</v>
      </c>
      <c r="AM267">
        <v>5</v>
      </c>
      <c r="AT267" t="s">
        <v>676</v>
      </c>
      <c r="AU267" t="s">
        <v>143</v>
      </c>
      <c r="AV267" t="s">
        <v>675</v>
      </c>
      <c r="AY267">
        <v>44.215020000000003</v>
      </c>
      <c r="AZ267">
        <v>-122.25469</v>
      </c>
      <c r="BB267" t="s">
        <v>486</v>
      </c>
      <c r="BC267" t="s">
        <v>122</v>
      </c>
      <c r="BD267">
        <v>8</v>
      </c>
      <c r="BE267">
        <v>8</v>
      </c>
      <c r="BF267">
        <v>8</v>
      </c>
    </row>
    <row r="268" spans="1:58" x14ac:dyDescent="0.2">
      <c r="D268">
        <v>9.5399999999999991</v>
      </c>
      <c r="E268">
        <v>141</v>
      </c>
      <c r="F268" t="s">
        <v>267</v>
      </c>
      <c r="H268">
        <v>141</v>
      </c>
      <c r="R268">
        <v>44.215020000000003</v>
      </c>
      <c r="S268">
        <v>0</v>
      </c>
      <c r="T268">
        <v>-122.25469</v>
      </c>
      <c r="U268">
        <v>0</v>
      </c>
      <c r="Y268">
        <v>5.9279999999999999E-2</v>
      </c>
      <c r="AE268">
        <v>0</v>
      </c>
      <c r="AG268">
        <v>0</v>
      </c>
      <c r="AI268" t="b">
        <v>0</v>
      </c>
      <c r="AJ268" t="s">
        <v>644</v>
      </c>
      <c r="AM268">
        <v>5</v>
      </c>
      <c r="AT268" t="s">
        <v>746</v>
      </c>
      <c r="AU268" t="s">
        <v>143</v>
      </c>
      <c r="AV268" t="s">
        <v>745</v>
      </c>
      <c r="AY268">
        <v>44.215020000000003</v>
      </c>
      <c r="AZ268">
        <v>-122.25469</v>
      </c>
      <c r="BB268" t="s">
        <v>486</v>
      </c>
      <c r="BC268" t="s">
        <v>122</v>
      </c>
      <c r="BD268">
        <v>10</v>
      </c>
      <c r="BE268">
        <v>10</v>
      </c>
      <c r="BF268">
        <v>10</v>
      </c>
    </row>
    <row r="269" spans="1:58" x14ac:dyDescent="0.2">
      <c r="D269">
        <v>9.32</v>
      </c>
      <c r="E269">
        <v>138</v>
      </c>
      <c r="F269" t="s">
        <v>267</v>
      </c>
      <c r="H269">
        <v>138</v>
      </c>
      <c r="R269">
        <v>44.215020000000003</v>
      </c>
      <c r="S269">
        <v>0</v>
      </c>
      <c r="T269">
        <v>-122.25469</v>
      </c>
      <c r="U269">
        <v>0</v>
      </c>
      <c r="Y269">
        <v>5.9279999999999999E-2</v>
      </c>
      <c r="AE269">
        <v>0</v>
      </c>
      <c r="AG269">
        <v>0</v>
      </c>
      <c r="AI269" t="b">
        <v>0</v>
      </c>
      <c r="AJ269" t="s">
        <v>644</v>
      </c>
      <c r="AM269">
        <v>5</v>
      </c>
      <c r="AT269" t="s">
        <v>762</v>
      </c>
      <c r="AU269" t="s">
        <v>143</v>
      </c>
      <c r="AV269" t="s">
        <v>761</v>
      </c>
      <c r="AY269">
        <v>44.215020000000003</v>
      </c>
      <c r="AZ269">
        <v>-122.25469</v>
      </c>
      <c r="BB269" t="s">
        <v>486</v>
      </c>
      <c r="BC269" t="s">
        <v>122</v>
      </c>
      <c r="BD269">
        <v>8</v>
      </c>
      <c r="BE269">
        <v>8</v>
      </c>
      <c r="BF269">
        <v>8</v>
      </c>
    </row>
    <row r="270" spans="1:58" x14ac:dyDescent="0.2">
      <c r="D270">
        <v>9.32</v>
      </c>
      <c r="E270">
        <v>139</v>
      </c>
      <c r="F270" t="s">
        <v>267</v>
      </c>
      <c r="H270">
        <v>139</v>
      </c>
      <c r="R270">
        <v>44.215020000000003</v>
      </c>
      <c r="S270">
        <v>0</v>
      </c>
      <c r="T270">
        <v>-122.25469</v>
      </c>
      <c r="U270">
        <v>0</v>
      </c>
      <c r="Y270">
        <v>5.9279999999999999E-2</v>
      </c>
      <c r="AE270">
        <v>0</v>
      </c>
      <c r="AG270">
        <v>0</v>
      </c>
      <c r="AI270" t="b">
        <v>0</v>
      </c>
      <c r="AJ270" t="s">
        <v>484</v>
      </c>
      <c r="AM270">
        <v>5</v>
      </c>
      <c r="AT270" t="s">
        <v>485</v>
      </c>
      <c r="AU270" t="s">
        <v>143</v>
      </c>
      <c r="AV270" t="s">
        <v>483</v>
      </c>
      <c r="AY270">
        <v>44.215020000000003</v>
      </c>
      <c r="AZ270">
        <v>-122.25469</v>
      </c>
      <c r="BB270" t="s">
        <v>486</v>
      </c>
      <c r="BC270" t="s">
        <v>122</v>
      </c>
      <c r="BD270">
        <v>8</v>
      </c>
      <c r="BE270">
        <v>8</v>
      </c>
      <c r="BF270">
        <v>8</v>
      </c>
    </row>
    <row r="271" spans="1:58" x14ac:dyDescent="0.2">
      <c r="D271">
        <v>9.32</v>
      </c>
      <c r="E271">
        <v>140</v>
      </c>
      <c r="F271" t="s">
        <v>267</v>
      </c>
      <c r="H271">
        <v>140</v>
      </c>
      <c r="R271">
        <v>44.215020000000003</v>
      </c>
      <c r="S271">
        <v>0</v>
      </c>
      <c r="T271">
        <v>-122.25469</v>
      </c>
      <c r="U271">
        <v>0</v>
      </c>
      <c r="Y271">
        <v>5.9279999999999999E-2</v>
      </c>
      <c r="AE271">
        <v>0</v>
      </c>
      <c r="AG271">
        <v>0</v>
      </c>
      <c r="AI271" t="b">
        <v>0</v>
      </c>
      <c r="AJ271" t="s">
        <v>484</v>
      </c>
      <c r="AM271">
        <v>5</v>
      </c>
      <c r="AT271" t="s">
        <v>624</v>
      </c>
      <c r="AU271" t="s">
        <v>143</v>
      </c>
      <c r="AV271" t="s">
        <v>623</v>
      </c>
      <c r="AY271">
        <v>44.215020000000003</v>
      </c>
      <c r="AZ271">
        <v>-122.25469</v>
      </c>
      <c r="BB271" t="s">
        <v>486</v>
      </c>
      <c r="BC271" t="s">
        <v>122</v>
      </c>
      <c r="BD271">
        <v>8</v>
      </c>
      <c r="BE271">
        <v>8</v>
      </c>
      <c r="BF271">
        <v>8</v>
      </c>
    </row>
    <row r="272" spans="1:58" x14ac:dyDescent="0.2">
      <c r="E272">
        <v>254</v>
      </c>
      <c r="F272" t="s">
        <v>752</v>
      </c>
      <c r="H272">
        <v>254</v>
      </c>
      <c r="I272">
        <v>250</v>
      </c>
      <c r="O272">
        <v>316</v>
      </c>
      <c r="R272">
        <v>46.536700000000003</v>
      </c>
      <c r="S272">
        <v>0</v>
      </c>
      <c r="T272">
        <v>8.6417999999999999</v>
      </c>
      <c r="U272">
        <v>0</v>
      </c>
      <c r="AA272">
        <v>63</v>
      </c>
      <c r="AB272" t="b">
        <v>0</v>
      </c>
      <c r="AE272">
        <v>0</v>
      </c>
      <c r="AJ272" t="s">
        <v>943</v>
      </c>
      <c r="AM272">
        <v>5</v>
      </c>
      <c r="AT272" t="s">
        <v>944</v>
      </c>
      <c r="AU272" t="s">
        <v>143</v>
      </c>
      <c r="AV272" t="s">
        <v>942</v>
      </c>
      <c r="AW272">
        <v>46.537300000000002</v>
      </c>
      <c r="AX272">
        <v>8.6369000000000007</v>
      </c>
      <c r="AY272">
        <v>46.536700000000003</v>
      </c>
      <c r="AZ272">
        <v>8.6417999999999999</v>
      </c>
      <c r="BB272" t="s">
        <v>303</v>
      </c>
      <c r="BC272" t="s">
        <v>134</v>
      </c>
      <c r="BD272">
        <v>398000</v>
      </c>
      <c r="BE272">
        <v>430000</v>
      </c>
      <c r="BF272">
        <v>365000</v>
      </c>
    </row>
    <row r="273" spans="1:58" x14ac:dyDescent="0.2">
      <c r="E273">
        <v>233</v>
      </c>
      <c r="F273" t="s">
        <v>653</v>
      </c>
      <c r="H273">
        <v>233</v>
      </c>
      <c r="R273">
        <v>46.701619999999998</v>
      </c>
      <c r="S273">
        <v>0.1</v>
      </c>
      <c r="T273">
        <v>8.7678700000000003</v>
      </c>
      <c r="U273">
        <v>0</v>
      </c>
      <c r="AA273">
        <v>137</v>
      </c>
      <c r="AB273" t="b">
        <v>0</v>
      </c>
      <c r="AE273">
        <v>0</v>
      </c>
      <c r="AJ273" t="s">
        <v>655</v>
      </c>
      <c r="AM273">
        <v>4</v>
      </c>
      <c r="AT273" t="s">
        <v>656</v>
      </c>
      <c r="AU273" t="s">
        <v>143</v>
      </c>
      <c r="AV273" t="s">
        <v>654</v>
      </c>
      <c r="AW273">
        <v>46.68873</v>
      </c>
      <c r="AX273">
        <v>8.7656299999999998</v>
      </c>
      <c r="AY273">
        <v>46.701619999999998</v>
      </c>
      <c r="AZ273">
        <v>8.7678700000000003</v>
      </c>
      <c r="BB273" t="s">
        <v>284</v>
      </c>
      <c r="BC273" t="s">
        <v>134</v>
      </c>
      <c r="BD273">
        <v>200000</v>
      </c>
    </row>
    <row r="274" spans="1:58" x14ac:dyDescent="0.2">
      <c r="E274">
        <v>222</v>
      </c>
      <c r="F274" t="s">
        <v>415</v>
      </c>
      <c r="H274">
        <v>222</v>
      </c>
      <c r="R274">
        <v>47.048839999999998</v>
      </c>
      <c r="S274">
        <v>0</v>
      </c>
      <c r="T274">
        <v>11.535539999999999</v>
      </c>
      <c r="U274">
        <v>1</v>
      </c>
      <c r="AA274">
        <v>238</v>
      </c>
      <c r="AB274" t="b">
        <v>0</v>
      </c>
      <c r="AE274">
        <v>90</v>
      </c>
      <c r="AF274" t="b">
        <v>1</v>
      </c>
      <c r="AJ274" t="s">
        <v>417</v>
      </c>
      <c r="AM274">
        <v>4</v>
      </c>
      <c r="AT274" t="s">
        <v>418</v>
      </c>
      <c r="AU274" t="s">
        <v>143</v>
      </c>
      <c r="AV274" t="s">
        <v>416</v>
      </c>
      <c r="AW274">
        <v>47.044229999999999</v>
      </c>
      <c r="AX274">
        <v>11.53593</v>
      </c>
      <c r="AY274">
        <v>47.048839999999998</v>
      </c>
      <c r="AZ274">
        <v>11.535539999999999</v>
      </c>
      <c r="BB274" t="s">
        <v>303</v>
      </c>
      <c r="BC274" t="s">
        <v>134</v>
      </c>
    </row>
    <row r="275" spans="1:58" x14ac:dyDescent="0.2">
      <c r="E275">
        <v>194</v>
      </c>
      <c r="F275" t="s">
        <v>597</v>
      </c>
      <c r="H275">
        <v>194</v>
      </c>
      <c r="R275">
        <v>45.972279999999998</v>
      </c>
      <c r="S275">
        <v>0.45</v>
      </c>
      <c r="T275">
        <v>6.6525699999999999</v>
      </c>
      <c r="U275">
        <v>1</v>
      </c>
      <c r="AA275">
        <v>288</v>
      </c>
      <c r="AB275" t="b">
        <v>0</v>
      </c>
      <c r="AE275">
        <v>95</v>
      </c>
      <c r="AF275" t="b">
        <v>1</v>
      </c>
      <c r="AG275">
        <v>0</v>
      </c>
      <c r="AI275" t="b">
        <v>0</v>
      </c>
      <c r="AJ275" t="s">
        <v>599</v>
      </c>
      <c r="AM275">
        <v>4</v>
      </c>
      <c r="AT275" t="s">
        <v>600</v>
      </c>
      <c r="AU275" t="s">
        <v>143</v>
      </c>
      <c r="AV275" t="s">
        <v>598</v>
      </c>
      <c r="BB275" t="s">
        <v>303</v>
      </c>
      <c r="BC275" t="s">
        <v>134</v>
      </c>
      <c r="BE275">
        <v>100000</v>
      </c>
      <c r="BF275">
        <v>80000</v>
      </c>
    </row>
    <row r="276" spans="1:58" x14ac:dyDescent="0.2">
      <c r="E276">
        <v>255</v>
      </c>
      <c r="F276" t="s">
        <v>361</v>
      </c>
      <c r="H276">
        <v>255</v>
      </c>
      <c r="I276">
        <v>1000</v>
      </c>
      <c r="O276">
        <v>1300</v>
      </c>
      <c r="R276">
        <v>46.340380000000003</v>
      </c>
      <c r="S276">
        <v>0.05</v>
      </c>
      <c r="T276">
        <v>9.6329200000000004</v>
      </c>
      <c r="U276">
        <v>0</v>
      </c>
      <c r="AA276">
        <v>259</v>
      </c>
      <c r="AB276" t="b">
        <v>0</v>
      </c>
      <c r="AE276">
        <v>0</v>
      </c>
      <c r="AJ276" t="s">
        <v>363</v>
      </c>
      <c r="AM276">
        <v>4</v>
      </c>
      <c r="AT276" t="s">
        <v>364</v>
      </c>
      <c r="AU276" t="s">
        <v>143</v>
      </c>
      <c r="AV276" t="s">
        <v>362</v>
      </c>
      <c r="AW276">
        <v>46.347839999999998</v>
      </c>
      <c r="AX276">
        <v>9.6267399999999999</v>
      </c>
      <c r="AY276">
        <v>46.340380000000003</v>
      </c>
      <c r="AZ276">
        <v>9.6329200000000004</v>
      </c>
      <c r="BB276" t="s">
        <v>303</v>
      </c>
      <c r="BC276" t="s">
        <v>134</v>
      </c>
      <c r="BD276">
        <v>50000</v>
      </c>
      <c r="BE276">
        <v>60000</v>
      </c>
      <c r="BF276">
        <v>40000</v>
      </c>
    </row>
    <row r="277" spans="1:58" x14ac:dyDescent="0.2">
      <c r="A277">
        <v>350000</v>
      </c>
      <c r="B277">
        <v>400000</v>
      </c>
      <c r="C277">
        <v>260000</v>
      </c>
      <c r="D277">
        <v>4800000</v>
      </c>
      <c r="E277">
        <v>267</v>
      </c>
      <c r="F277" t="s">
        <v>267</v>
      </c>
      <c r="H277">
        <v>267</v>
      </c>
      <c r="I277">
        <v>1200</v>
      </c>
      <c r="J277">
        <v>1300</v>
      </c>
      <c r="K277">
        <v>1100</v>
      </c>
      <c r="O277">
        <v>10800</v>
      </c>
      <c r="P277">
        <v>12000</v>
      </c>
      <c r="R277">
        <v>-43.359900000000003</v>
      </c>
      <c r="S277">
        <v>0</v>
      </c>
      <c r="T277">
        <v>-72.431250000000006</v>
      </c>
      <c r="U277">
        <v>1</v>
      </c>
      <c r="AA277">
        <v>331</v>
      </c>
      <c r="AB277" t="b">
        <v>1</v>
      </c>
      <c r="AE277">
        <v>433</v>
      </c>
      <c r="AF277" t="b">
        <v>0</v>
      </c>
      <c r="AJ277" t="s">
        <v>956</v>
      </c>
      <c r="AM277">
        <v>5</v>
      </c>
      <c r="AN277">
        <v>300000</v>
      </c>
      <c r="AQ277">
        <v>30</v>
      </c>
      <c r="AR277">
        <v>20</v>
      </c>
      <c r="AS277">
        <v>50</v>
      </c>
      <c r="AT277" t="s">
        <v>957</v>
      </c>
      <c r="AU277" t="s">
        <v>120</v>
      </c>
      <c r="AV277" t="s">
        <v>955</v>
      </c>
      <c r="AW277">
        <v>-43.426340000000003</v>
      </c>
      <c r="AX277">
        <v>-72.372979999999998</v>
      </c>
      <c r="AY277">
        <v>-43.359900000000003</v>
      </c>
      <c r="AZ277">
        <v>-72.431250000000006</v>
      </c>
      <c r="BB277" t="s">
        <v>958</v>
      </c>
      <c r="BC277" t="s">
        <v>134</v>
      </c>
      <c r="BD277">
        <v>7200000</v>
      </c>
      <c r="BE277">
        <v>33000000</v>
      </c>
      <c r="BF277">
        <v>3400000</v>
      </c>
    </row>
    <row r="278" spans="1:58" x14ac:dyDescent="0.2">
      <c r="A278">
        <v>1200000</v>
      </c>
      <c r="C278">
        <v>1000000</v>
      </c>
      <c r="D278">
        <v>2300000</v>
      </c>
      <c r="E278">
        <v>13</v>
      </c>
      <c r="F278" t="s">
        <v>267</v>
      </c>
      <c r="H278">
        <v>13</v>
      </c>
      <c r="I278">
        <v>636</v>
      </c>
      <c r="O278">
        <v>4590</v>
      </c>
      <c r="R278">
        <v>39.164949999999997</v>
      </c>
      <c r="S278">
        <v>0</v>
      </c>
      <c r="T278">
        <v>-107.84690000000001</v>
      </c>
      <c r="U278">
        <v>1</v>
      </c>
      <c r="AA278">
        <v>564</v>
      </c>
      <c r="AB278" t="b">
        <v>1</v>
      </c>
      <c r="AE278">
        <v>1000</v>
      </c>
      <c r="AF278" t="b">
        <v>0</v>
      </c>
      <c r="AJ278" t="s">
        <v>821</v>
      </c>
      <c r="AM278">
        <v>5</v>
      </c>
      <c r="AT278" t="s">
        <v>822</v>
      </c>
      <c r="AU278" t="s">
        <v>137</v>
      </c>
      <c r="AV278" t="s">
        <v>820</v>
      </c>
      <c r="AW278">
        <v>39.202910000000003</v>
      </c>
      <c r="AX278">
        <v>-107.85825</v>
      </c>
      <c r="AY278">
        <v>39.164949999999997</v>
      </c>
      <c r="AZ278">
        <v>-107.84690000000001</v>
      </c>
      <c r="BB278" t="s">
        <v>823</v>
      </c>
      <c r="BC278" t="s">
        <v>134</v>
      </c>
      <c r="BD278">
        <v>54500000</v>
      </c>
      <c r="BE278">
        <v>67500000</v>
      </c>
      <c r="BF278">
        <v>41500000</v>
      </c>
    </row>
    <row r="279" spans="1:58" x14ac:dyDescent="0.2">
      <c r="E279">
        <v>31</v>
      </c>
      <c r="F279" t="s">
        <v>267</v>
      </c>
      <c r="H279">
        <v>31</v>
      </c>
      <c r="R279">
        <v>39.168050000000001</v>
      </c>
      <c r="S279">
        <v>0.5</v>
      </c>
      <c r="T279">
        <v>-107.84829999999999</v>
      </c>
      <c r="U279">
        <v>1</v>
      </c>
      <c r="AA279">
        <v>135</v>
      </c>
      <c r="AB279" t="b">
        <v>1</v>
      </c>
      <c r="AE279">
        <v>490</v>
      </c>
      <c r="AF279" t="b">
        <v>1</v>
      </c>
      <c r="AJ279" t="s">
        <v>399</v>
      </c>
      <c r="AM279">
        <v>5</v>
      </c>
      <c r="AT279" t="s">
        <v>400</v>
      </c>
      <c r="AU279" t="s">
        <v>137</v>
      </c>
      <c r="AV279" t="s">
        <v>398</v>
      </c>
      <c r="BB279" t="s">
        <v>401</v>
      </c>
      <c r="BC279" t="s">
        <v>134</v>
      </c>
      <c r="BD279">
        <v>586000</v>
      </c>
      <c r="BE279">
        <v>1000000</v>
      </c>
      <c r="BF279">
        <v>100000</v>
      </c>
    </row>
    <row r="280" spans="1:58" x14ac:dyDescent="0.2">
      <c r="E280">
        <v>170</v>
      </c>
      <c r="F280" t="s">
        <v>267</v>
      </c>
      <c r="H280">
        <v>170</v>
      </c>
      <c r="R280">
        <v>45.350999999999999</v>
      </c>
      <c r="S280">
        <v>1.8</v>
      </c>
      <c r="T280">
        <v>-121.7</v>
      </c>
      <c r="U280">
        <v>0</v>
      </c>
      <c r="AA280">
        <v>5</v>
      </c>
      <c r="AB280" t="b">
        <v>1</v>
      </c>
      <c r="AE280">
        <v>0</v>
      </c>
      <c r="AG280">
        <v>0</v>
      </c>
      <c r="AI280" t="b">
        <v>0</v>
      </c>
      <c r="AJ280" t="s">
        <v>213</v>
      </c>
      <c r="AM280">
        <v>1</v>
      </c>
      <c r="AT280" t="s">
        <v>852</v>
      </c>
      <c r="AU280" t="s">
        <v>143</v>
      </c>
      <c r="AV280" t="s">
        <v>851</v>
      </c>
      <c r="BB280" t="s">
        <v>374</v>
      </c>
      <c r="BC280" t="s">
        <v>375</v>
      </c>
    </row>
    <row r="281" spans="1:58" x14ac:dyDescent="0.2">
      <c r="E281">
        <v>37</v>
      </c>
      <c r="F281" t="s">
        <v>267</v>
      </c>
      <c r="H281">
        <v>37</v>
      </c>
      <c r="I281">
        <v>1100</v>
      </c>
      <c r="J281">
        <v>1200</v>
      </c>
      <c r="K281">
        <v>800</v>
      </c>
      <c r="O281">
        <v>18000</v>
      </c>
      <c r="P281">
        <v>19000</v>
      </c>
      <c r="Q281">
        <v>7000</v>
      </c>
      <c r="R281">
        <v>45.346299999999999</v>
      </c>
      <c r="S281">
        <v>0.5</v>
      </c>
      <c r="T281">
        <v>-121.6999</v>
      </c>
      <c r="U281">
        <v>0</v>
      </c>
      <c r="AA281">
        <v>13</v>
      </c>
      <c r="AB281" t="b">
        <v>1</v>
      </c>
      <c r="AE281">
        <v>0</v>
      </c>
      <c r="AJ281" t="s">
        <v>213</v>
      </c>
      <c r="AM281">
        <v>2</v>
      </c>
      <c r="AT281" t="s">
        <v>214</v>
      </c>
      <c r="AU281" t="s">
        <v>137</v>
      </c>
      <c r="AV281" t="s">
        <v>1006</v>
      </c>
      <c r="AW281">
        <v>45.205500000000001</v>
      </c>
      <c r="AX281">
        <v>-121.60469999999999</v>
      </c>
      <c r="AY281">
        <v>45.346299999999999</v>
      </c>
      <c r="AZ281">
        <v>-121.6999</v>
      </c>
      <c r="BB281" t="s">
        <v>121</v>
      </c>
      <c r="BC281" t="s">
        <v>122</v>
      </c>
    </row>
    <row r="282" spans="1:58" x14ac:dyDescent="0.2">
      <c r="E282">
        <v>39</v>
      </c>
      <c r="F282" t="s">
        <v>267</v>
      </c>
      <c r="H282">
        <v>39</v>
      </c>
      <c r="R282">
        <v>45.346299999999999</v>
      </c>
      <c r="S282">
        <v>0.5</v>
      </c>
      <c r="T282">
        <v>-121.6999</v>
      </c>
      <c r="U282">
        <v>0</v>
      </c>
      <c r="AA282">
        <v>5</v>
      </c>
      <c r="AB282" t="b">
        <v>1</v>
      </c>
      <c r="AE282">
        <v>0</v>
      </c>
      <c r="AJ282" t="s">
        <v>213</v>
      </c>
      <c r="AM282">
        <v>2</v>
      </c>
      <c r="AT282" t="s">
        <v>215</v>
      </c>
      <c r="AU282" t="s">
        <v>137</v>
      </c>
      <c r="AV282" t="s">
        <v>1013</v>
      </c>
      <c r="AY282">
        <v>45.346299999999999</v>
      </c>
      <c r="AZ282">
        <v>-121.6999</v>
      </c>
      <c r="BB282" t="s">
        <v>121</v>
      </c>
      <c r="BC282" t="s">
        <v>122</v>
      </c>
    </row>
    <row r="283" spans="1:58" x14ac:dyDescent="0.2">
      <c r="E283">
        <v>38</v>
      </c>
      <c r="F283" t="s">
        <v>267</v>
      </c>
      <c r="H283">
        <v>38</v>
      </c>
      <c r="I283">
        <v>1100</v>
      </c>
      <c r="J283">
        <v>1200</v>
      </c>
      <c r="K283">
        <v>800</v>
      </c>
      <c r="O283">
        <v>18000</v>
      </c>
      <c r="P283">
        <v>19000</v>
      </c>
      <c r="Q283">
        <v>7000</v>
      </c>
      <c r="R283">
        <v>45.346299999999999</v>
      </c>
      <c r="S283">
        <v>0.5</v>
      </c>
      <c r="T283">
        <v>-121.6999</v>
      </c>
      <c r="U283">
        <v>0</v>
      </c>
      <c r="AA283">
        <v>13</v>
      </c>
      <c r="AB283" t="b">
        <v>1</v>
      </c>
      <c r="AE283">
        <v>0</v>
      </c>
      <c r="AJ283" t="s">
        <v>213</v>
      </c>
      <c r="AM283">
        <v>2</v>
      </c>
      <c r="AT283" t="s">
        <v>216</v>
      </c>
      <c r="AU283" t="s">
        <v>137</v>
      </c>
      <c r="AV283" t="s">
        <v>1045</v>
      </c>
      <c r="AW283">
        <v>45.205500000000001</v>
      </c>
      <c r="AX283">
        <v>-121.60469999999999</v>
      </c>
      <c r="AY283">
        <v>45.346299999999999</v>
      </c>
      <c r="AZ283">
        <v>-121.6999</v>
      </c>
      <c r="BB283" t="s">
        <v>121</v>
      </c>
      <c r="BC283" t="s">
        <v>122</v>
      </c>
    </row>
    <row r="284" spans="1:58" x14ac:dyDescent="0.2">
      <c r="A284">
        <v>3000</v>
      </c>
      <c r="B284">
        <v>4200</v>
      </c>
      <c r="C284">
        <v>1600</v>
      </c>
      <c r="D284">
        <v>20000</v>
      </c>
      <c r="E284">
        <v>156</v>
      </c>
      <c r="F284" t="s">
        <v>267</v>
      </c>
      <c r="H284">
        <v>156</v>
      </c>
      <c r="I284">
        <v>300</v>
      </c>
      <c r="J284">
        <v>340</v>
      </c>
      <c r="K284">
        <v>190</v>
      </c>
      <c r="O284">
        <v>300</v>
      </c>
      <c r="P284">
        <v>430</v>
      </c>
      <c r="Q284">
        <v>250</v>
      </c>
      <c r="R284">
        <v>46.1999</v>
      </c>
      <c r="S284">
        <v>0.3</v>
      </c>
      <c r="T284">
        <v>-121.511</v>
      </c>
      <c r="U284">
        <v>0</v>
      </c>
      <c r="AA284">
        <v>49</v>
      </c>
      <c r="AB284" t="b">
        <v>1</v>
      </c>
      <c r="AE284">
        <v>0</v>
      </c>
      <c r="AG284">
        <v>11</v>
      </c>
      <c r="AH284" t="b">
        <v>1</v>
      </c>
      <c r="AI284" t="b">
        <v>1</v>
      </c>
      <c r="AJ284" t="s">
        <v>670</v>
      </c>
      <c r="AM284">
        <v>5</v>
      </c>
      <c r="AT284" t="s">
        <v>671</v>
      </c>
      <c r="AU284" t="s">
        <v>143</v>
      </c>
      <c r="AV284" t="s">
        <v>669</v>
      </c>
      <c r="AW284">
        <v>46.198500000000003</v>
      </c>
      <c r="AX284">
        <v>-121.51390000000001</v>
      </c>
      <c r="AY284">
        <v>46.1999</v>
      </c>
      <c r="AZ284">
        <v>-121.511</v>
      </c>
      <c r="BB284" t="s">
        <v>341</v>
      </c>
      <c r="BC284" t="s">
        <v>134</v>
      </c>
      <c r="BD284">
        <v>20000</v>
      </c>
      <c r="BE284">
        <v>60000</v>
      </c>
      <c r="BF284">
        <v>10000</v>
      </c>
    </row>
    <row r="285" spans="1:58" x14ac:dyDescent="0.2">
      <c r="E285">
        <v>280</v>
      </c>
      <c r="F285" t="s">
        <v>285</v>
      </c>
      <c r="H285">
        <v>280</v>
      </c>
      <c r="R285">
        <v>41.419699999999999</v>
      </c>
      <c r="S285">
        <v>0.6</v>
      </c>
      <c r="T285">
        <v>-122.2115</v>
      </c>
      <c r="U285">
        <v>0</v>
      </c>
      <c r="Y285">
        <v>9</v>
      </c>
      <c r="Z285">
        <v>1</v>
      </c>
      <c r="AA285">
        <v>9</v>
      </c>
      <c r="AB285" t="b">
        <v>1</v>
      </c>
      <c r="AE285">
        <v>0</v>
      </c>
      <c r="AG285">
        <v>0</v>
      </c>
      <c r="AJ285" t="s">
        <v>217</v>
      </c>
      <c r="AM285">
        <v>4</v>
      </c>
      <c r="AT285" t="s">
        <v>218</v>
      </c>
      <c r="AU285" t="s">
        <v>120</v>
      </c>
      <c r="AV285" t="s">
        <v>1059</v>
      </c>
      <c r="BB285" t="s">
        <v>121</v>
      </c>
      <c r="BC285" t="s">
        <v>122</v>
      </c>
    </row>
    <row r="286" spans="1:58" x14ac:dyDescent="0.2">
      <c r="E286">
        <v>282</v>
      </c>
      <c r="F286" t="s">
        <v>285</v>
      </c>
      <c r="H286">
        <v>282</v>
      </c>
      <c r="R286">
        <v>41.429299999999998</v>
      </c>
      <c r="S286">
        <v>0.5</v>
      </c>
      <c r="T286">
        <v>-122.2059</v>
      </c>
      <c r="U286">
        <v>0</v>
      </c>
      <c r="Y286">
        <v>10</v>
      </c>
      <c r="Z286">
        <v>1</v>
      </c>
      <c r="AA286">
        <v>12</v>
      </c>
      <c r="AB286" t="b">
        <v>1</v>
      </c>
      <c r="AE286">
        <v>0</v>
      </c>
      <c r="AG286">
        <v>0</v>
      </c>
      <c r="AJ286" t="s">
        <v>219</v>
      </c>
      <c r="AM286">
        <v>4</v>
      </c>
      <c r="AT286" t="s">
        <v>220</v>
      </c>
      <c r="AU286" t="s">
        <v>120</v>
      </c>
      <c r="AV286" t="s">
        <v>1063</v>
      </c>
      <c r="BB286" t="s">
        <v>121</v>
      </c>
      <c r="BC286" t="s">
        <v>122</v>
      </c>
    </row>
    <row r="287" spans="1:58" x14ac:dyDescent="0.2">
      <c r="A287">
        <v>100000</v>
      </c>
      <c r="B287">
        <v>150000</v>
      </c>
      <c r="C287">
        <v>65000</v>
      </c>
      <c r="D287">
        <v>820000</v>
      </c>
      <c r="E287">
        <v>186</v>
      </c>
      <c r="F287" t="s">
        <v>287</v>
      </c>
      <c r="H287">
        <v>186</v>
      </c>
      <c r="I287">
        <v>690</v>
      </c>
      <c r="J287">
        <v>760</v>
      </c>
      <c r="K287">
        <v>640</v>
      </c>
      <c r="O287">
        <v>2000</v>
      </c>
      <c r="P287">
        <v>2100</v>
      </c>
      <c r="Q287">
        <v>1600</v>
      </c>
      <c r="R287">
        <v>61.984499999999997</v>
      </c>
      <c r="S287">
        <v>0</v>
      </c>
      <c r="T287">
        <v>-143.16829999999999</v>
      </c>
      <c r="U287">
        <v>1</v>
      </c>
      <c r="V287">
        <v>40000000000</v>
      </c>
      <c r="AA287">
        <v>500</v>
      </c>
      <c r="AB287" t="b">
        <v>0</v>
      </c>
      <c r="AE287">
        <v>500</v>
      </c>
      <c r="AF287" t="b">
        <v>0</v>
      </c>
      <c r="AJ287" t="s">
        <v>289</v>
      </c>
      <c r="AM287">
        <v>4</v>
      </c>
      <c r="AT287" t="s">
        <v>290</v>
      </c>
      <c r="AU287" t="s">
        <v>143</v>
      </c>
      <c r="AV287" t="s">
        <v>288</v>
      </c>
      <c r="AW287">
        <v>61.972200000000001</v>
      </c>
      <c r="AX287">
        <v>-143.14949999999999</v>
      </c>
      <c r="AY287">
        <v>61.984499999999997</v>
      </c>
      <c r="AZ287">
        <v>-143.16829999999999</v>
      </c>
      <c r="BB287" t="s">
        <v>291</v>
      </c>
      <c r="BC287" t="s">
        <v>134</v>
      </c>
      <c r="BD287">
        <v>2600000</v>
      </c>
      <c r="BE287">
        <v>3900000</v>
      </c>
      <c r="BF287">
        <v>1800000</v>
      </c>
    </row>
    <row r="288" spans="1:58" x14ac:dyDescent="0.2">
      <c r="A288">
        <v>100000</v>
      </c>
      <c r="D288">
        <v>1600000</v>
      </c>
      <c r="E288">
        <v>273</v>
      </c>
      <c r="F288" t="s">
        <v>267</v>
      </c>
      <c r="H288">
        <v>273</v>
      </c>
      <c r="I288">
        <v>1200</v>
      </c>
      <c r="O288">
        <v>2600</v>
      </c>
      <c r="R288">
        <v>32.079700000000003</v>
      </c>
      <c r="S288">
        <v>0</v>
      </c>
      <c r="T288">
        <v>103.6628</v>
      </c>
      <c r="U288">
        <v>1</v>
      </c>
      <c r="AA288">
        <v>591</v>
      </c>
      <c r="AB288" t="b">
        <v>0</v>
      </c>
      <c r="AE288">
        <v>591</v>
      </c>
      <c r="AF288" t="b">
        <v>0</v>
      </c>
      <c r="AJ288" t="s">
        <v>273</v>
      </c>
      <c r="AM288">
        <v>5</v>
      </c>
      <c r="AT288" t="s">
        <v>274</v>
      </c>
      <c r="AU288" t="s">
        <v>120</v>
      </c>
      <c r="AV288" t="s">
        <v>272</v>
      </c>
      <c r="BB288" t="s">
        <v>275</v>
      </c>
      <c r="BC288" t="s">
        <v>134</v>
      </c>
      <c r="BD288">
        <v>13000000</v>
      </c>
      <c r="BE288">
        <v>14000000</v>
      </c>
      <c r="BF288">
        <v>12000000</v>
      </c>
    </row>
    <row r="289" spans="1:58" x14ac:dyDescent="0.2">
      <c r="A289">
        <v>12900000</v>
      </c>
      <c r="D289">
        <v>18900000</v>
      </c>
      <c r="E289">
        <v>270</v>
      </c>
      <c r="F289" t="s">
        <v>267</v>
      </c>
      <c r="H289">
        <v>270</v>
      </c>
      <c r="I289">
        <v>3330</v>
      </c>
      <c r="O289">
        <v>10000</v>
      </c>
      <c r="R289">
        <v>30.203099999999999</v>
      </c>
      <c r="S289">
        <v>0</v>
      </c>
      <c r="T289">
        <v>94.967500000000001</v>
      </c>
      <c r="U289">
        <v>1</v>
      </c>
      <c r="AA289">
        <v>1982</v>
      </c>
      <c r="AB289" t="b">
        <v>0</v>
      </c>
      <c r="AE289">
        <v>1982</v>
      </c>
      <c r="AF289" t="b">
        <v>0</v>
      </c>
      <c r="AJ289" t="s">
        <v>663</v>
      </c>
      <c r="AM289">
        <v>5</v>
      </c>
      <c r="AT289" t="s">
        <v>664</v>
      </c>
      <c r="AU289" t="s">
        <v>120</v>
      </c>
      <c r="AV289" t="s">
        <v>662</v>
      </c>
      <c r="BB289" t="s">
        <v>665</v>
      </c>
      <c r="BC289" t="s">
        <v>134</v>
      </c>
      <c r="BD289">
        <v>300000000</v>
      </c>
    </row>
    <row r="290" spans="1:58" x14ac:dyDescent="0.2">
      <c r="A290">
        <v>470</v>
      </c>
      <c r="B290">
        <v>530</v>
      </c>
      <c r="C290">
        <v>420</v>
      </c>
      <c r="D290">
        <v>21000</v>
      </c>
      <c r="E290">
        <v>264</v>
      </c>
      <c r="F290" t="s">
        <v>267</v>
      </c>
      <c r="H290">
        <v>264</v>
      </c>
      <c r="I290">
        <v>350</v>
      </c>
      <c r="O290">
        <v>400</v>
      </c>
      <c r="R290">
        <v>49.688800000000001</v>
      </c>
      <c r="S290">
        <v>0</v>
      </c>
      <c r="T290">
        <v>-123.1348</v>
      </c>
      <c r="U290">
        <v>0</v>
      </c>
      <c r="AA290">
        <v>260</v>
      </c>
      <c r="AB290" t="b">
        <v>1</v>
      </c>
      <c r="AE290">
        <v>0</v>
      </c>
      <c r="AJ290" t="s">
        <v>591</v>
      </c>
      <c r="AM290">
        <v>4</v>
      </c>
      <c r="AT290" t="s">
        <v>592</v>
      </c>
      <c r="AU290" t="s">
        <v>120</v>
      </c>
      <c r="AV290" t="s">
        <v>590</v>
      </c>
      <c r="AW290">
        <v>49.6907</v>
      </c>
      <c r="AX290">
        <v>-123.13549999999999</v>
      </c>
      <c r="AY290">
        <v>49.688800000000001</v>
      </c>
      <c r="AZ290">
        <v>-123.1348</v>
      </c>
      <c r="BB290" t="s">
        <v>312</v>
      </c>
      <c r="BC290" t="s">
        <v>191</v>
      </c>
      <c r="BD290">
        <v>2500</v>
      </c>
      <c r="BE290">
        <v>3000</v>
      </c>
      <c r="BF290">
        <v>2000</v>
      </c>
    </row>
    <row r="291" spans="1:58" x14ac:dyDescent="0.2">
      <c r="E291">
        <v>216</v>
      </c>
      <c r="F291" t="s">
        <v>657</v>
      </c>
      <c r="H291">
        <v>216</v>
      </c>
      <c r="R291">
        <v>46.614899999999999</v>
      </c>
      <c r="S291">
        <v>0.5</v>
      </c>
      <c r="T291">
        <v>12.3749</v>
      </c>
      <c r="U291">
        <v>1</v>
      </c>
      <c r="AA291">
        <v>294</v>
      </c>
      <c r="AB291" t="b">
        <v>0</v>
      </c>
      <c r="AE291">
        <v>123</v>
      </c>
      <c r="AF291" t="b">
        <v>1</v>
      </c>
      <c r="AJ291" t="s">
        <v>1015</v>
      </c>
      <c r="AM291">
        <v>3</v>
      </c>
      <c r="AT291" t="s">
        <v>1016</v>
      </c>
      <c r="AU291" t="s">
        <v>143</v>
      </c>
      <c r="AV291" t="s">
        <v>1014</v>
      </c>
      <c r="BB291" t="s">
        <v>303</v>
      </c>
      <c r="BC291" t="s">
        <v>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D9867-C796-8C4F-A0E6-89C09FC17295}">
  <dimension ref="A1:V51"/>
  <sheetViews>
    <sheetView topLeftCell="E1" workbookViewId="0">
      <selection activeCell="P2" sqref="P2:Q2"/>
    </sheetView>
  </sheetViews>
  <sheetFormatPr baseColWidth="10" defaultRowHeight="16" x14ac:dyDescent="0.2"/>
  <cols>
    <col min="1" max="1" width="23.5" style="2" customWidth="1"/>
    <col min="2" max="2" width="10.83203125" style="2"/>
    <col min="3" max="4" width="10.83203125" style="2" customWidth="1"/>
    <col min="5" max="5" width="39" style="2" customWidth="1"/>
    <col min="6" max="6" width="10.83203125" style="2" customWidth="1"/>
    <col min="7" max="7" width="30.5" style="2" customWidth="1"/>
    <col min="8" max="8" width="18.6640625" style="2" customWidth="1"/>
    <col min="9" max="9" width="19.83203125" style="2" customWidth="1"/>
    <col min="10" max="10" width="10.5" style="2" customWidth="1"/>
    <col min="11" max="11" width="8.33203125" style="2" bestFit="1" customWidth="1"/>
    <col min="12" max="12" width="8.33203125" style="2" customWidth="1"/>
    <col min="13" max="13" width="10.6640625" style="2" bestFit="1" customWidth="1"/>
    <col min="14" max="14" width="7.5" style="2" customWidth="1"/>
    <col min="15" max="15" width="10.33203125" style="2" customWidth="1"/>
    <col min="16" max="17" width="19.33203125" style="2" bestFit="1" customWidth="1"/>
    <col min="18" max="18" width="19" style="2" customWidth="1"/>
    <col min="19" max="19" width="32.83203125" style="2" bestFit="1" customWidth="1"/>
    <col min="20" max="20" width="7.33203125" style="2" customWidth="1"/>
    <col min="21" max="22" width="18.6640625" style="2" customWidth="1"/>
    <col min="23" max="16384" width="10.83203125" style="2"/>
  </cols>
  <sheetData>
    <row r="1" spans="1:22" x14ac:dyDescent="0.2">
      <c r="A1" s="1" t="s">
        <v>226</v>
      </c>
      <c r="B1" s="1" t="s">
        <v>229</v>
      </c>
      <c r="C1" s="1" t="s">
        <v>239</v>
      </c>
      <c r="D1" s="1" t="s">
        <v>241</v>
      </c>
      <c r="E1" s="1" t="s">
        <v>106</v>
      </c>
      <c r="F1" s="1" t="s">
        <v>107</v>
      </c>
      <c r="G1" s="1" t="s">
        <v>108</v>
      </c>
      <c r="H1" s="1" t="s">
        <v>1334</v>
      </c>
      <c r="I1" s="1" t="s">
        <v>1313</v>
      </c>
      <c r="J1" s="1" t="s">
        <v>1088</v>
      </c>
      <c r="K1" s="1" t="s">
        <v>1081</v>
      </c>
      <c r="L1" s="1" t="s">
        <v>1082</v>
      </c>
      <c r="M1" s="1" t="s">
        <v>27</v>
      </c>
      <c r="N1" s="1" t="s">
        <v>1113</v>
      </c>
      <c r="O1" s="1" t="s">
        <v>1085</v>
      </c>
      <c r="P1" s="1" t="s">
        <v>109</v>
      </c>
      <c r="Q1" s="1" t="s">
        <v>228</v>
      </c>
      <c r="R1" s="1" t="s">
        <v>1114</v>
      </c>
      <c r="S1" s="1" t="s">
        <v>117</v>
      </c>
      <c r="U1" s="1"/>
      <c r="V1" s="1"/>
    </row>
    <row r="2" spans="1:22" x14ac:dyDescent="0.2">
      <c r="A2" s="2" t="s">
        <v>336</v>
      </c>
      <c r="B2" s="2">
        <v>302</v>
      </c>
      <c r="C2" s="2">
        <v>40.731900000000003</v>
      </c>
      <c r="D2" s="2">
        <v>13.898199999999999</v>
      </c>
      <c r="E2" s="2" t="s">
        <v>123</v>
      </c>
      <c r="F2" s="2" t="s">
        <v>95</v>
      </c>
      <c r="H2" s="2" t="s">
        <v>1338</v>
      </c>
      <c r="I2" s="2" t="s">
        <v>1314</v>
      </c>
      <c r="J2" s="2" t="s">
        <v>267</v>
      </c>
      <c r="K2" s="2" t="s">
        <v>1087</v>
      </c>
      <c r="L2" s="2" t="s">
        <v>1086</v>
      </c>
      <c r="M2" s="2" t="s">
        <v>14</v>
      </c>
      <c r="O2" s="2">
        <v>1.3</v>
      </c>
      <c r="P2" s="2" t="s">
        <v>1219</v>
      </c>
      <c r="Q2" s="2" t="s">
        <v>1220</v>
      </c>
      <c r="R2" s="2" t="s">
        <v>121</v>
      </c>
      <c r="S2" s="2" t="s">
        <v>122</v>
      </c>
    </row>
    <row r="3" spans="1:22" x14ac:dyDescent="0.2">
      <c r="A3" s="2" t="s">
        <v>365</v>
      </c>
      <c r="B3" s="2">
        <v>143</v>
      </c>
      <c r="C3" s="2">
        <v>38.733310000000003</v>
      </c>
      <c r="D3" s="2">
        <v>-106.18702999999999</v>
      </c>
      <c r="E3" s="2" t="s">
        <v>125</v>
      </c>
      <c r="F3" s="17" t="s">
        <v>96</v>
      </c>
      <c r="G3" s="18" t="s">
        <v>126</v>
      </c>
      <c r="H3" s="2" t="s">
        <v>1335</v>
      </c>
      <c r="I3" s="2" t="s">
        <v>1319</v>
      </c>
      <c r="J3" s="11" t="s">
        <v>1089</v>
      </c>
      <c r="K3" s="11" t="s">
        <v>1091</v>
      </c>
      <c r="L3" s="11" t="s">
        <v>1090</v>
      </c>
      <c r="M3" s="11" t="s">
        <v>1092</v>
      </c>
      <c r="N3" s="11"/>
      <c r="O3" s="11">
        <v>0.1</v>
      </c>
      <c r="P3" s="2" t="s">
        <v>1196</v>
      </c>
      <c r="Q3" s="2" t="s">
        <v>1197</v>
      </c>
      <c r="R3" s="2" t="s">
        <v>121</v>
      </c>
      <c r="S3" s="2" t="s">
        <v>122</v>
      </c>
    </row>
    <row r="4" spans="1:22" x14ac:dyDescent="0.2">
      <c r="A4" s="2" t="s">
        <v>365</v>
      </c>
      <c r="B4" s="2">
        <v>144</v>
      </c>
      <c r="C4" s="2">
        <v>38.733310000000003</v>
      </c>
      <c r="D4" s="2">
        <v>-106.18702999999999</v>
      </c>
      <c r="E4" s="2" t="s">
        <v>129</v>
      </c>
      <c r="F4" s="17" t="s">
        <v>96</v>
      </c>
      <c r="G4" s="18" t="s">
        <v>126</v>
      </c>
      <c r="H4" s="2" t="s">
        <v>1335</v>
      </c>
      <c r="I4" s="2" t="s">
        <v>1319</v>
      </c>
      <c r="J4" s="11" t="s">
        <v>1089</v>
      </c>
      <c r="K4" s="11" t="s">
        <v>1091</v>
      </c>
      <c r="L4" s="11" t="s">
        <v>1090</v>
      </c>
      <c r="M4" s="11" t="s">
        <v>1092</v>
      </c>
      <c r="N4" s="11"/>
      <c r="O4" s="11">
        <v>0.1</v>
      </c>
      <c r="P4" s="2" t="s">
        <v>1194</v>
      </c>
      <c r="Q4" s="2" t="s">
        <v>1195</v>
      </c>
      <c r="R4" s="2" t="s">
        <v>121</v>
      </c>
      <c r="S4" s="2" t="s">
        <v>122</v>
      </c>
    </row>
    <row r="5" spans="1:22" x14ac:dyDescent="0.2">
      <c r="A5" s="2" t="s">
        <v>267</v>
      </c>
      <c r="B5" s="2">
        <v>287</v>
      </c>
      <c r="C5" s="2">
        <v>40.302</v>
      </c>
      <c r="D5" s="2">
        <v>-105.6835</v>
      </c>
      <c r="E5" s="2" t="s">
        <v>131</v>
      </c>
      <c r="F5" s="19" t="s">
        <v>1336</v>
      </c>
      <c r="G5" s="19" t="s">
        <v>1096</v>
      </c>
      <c r="H5" s="2" t="s">
        <v>1335</v>
      </c>
      <c r="I5" s="2" t="s">
        <v>1320</v>
      </c>
      <c r="J5" s="2" t="s">
        <v>267</v>
      </c>
      <c r="K5" s="2" t="s">
        <v>1095</v>
      </c>
      <c r="L5" s="2" t="s">
        <v>1094</v>
      </c>
      <c r="M5" s="2" t="s">
        <v>13</v>
      </c>
      <c r="O5" s="2">
        <v>30.7</v>
      </c>
      <c r="P5" s="2" t="s">
        <v>1221</v>
      </c>
      <c r="Q5" s="2" t="s">
        <v>1222</v>
      </c>
      <c r="R5" s="2" t="s">
        <v>133</v>
      </c>
      <c r="S5" s="2" t="s">
        <v>134</v>
      </c>
    </row>
    <row r="6" spans="1:22" x14ac:dyDescent="0.2">
      <c r="A6" s="2" t="s">
        <v>466</v>
      </c>
      <c r="B6" s="2">
        <v>24</v>
      </c>
      <c r="C6" s="2">
        <v>49.467359999999999</v>
      </c>
      <c r="D6" s="2">
        <v>-122.01218</v>
      </c>
      <c r="E6" s="2" t="s">
        <v>135</v>
      </c>
      <c r="F6" s="19" t="s">
        <v>1336</v>
      </c>
      <c r="G6" s="19" t="s">
        <v>1096</v>
      </c>
      <c r="H6" s="2" t="s">
        <v>1335</v>
      </c>
      <c r="I6" s="2" t="s">
        <v>1321</v>
      </c>
      <c r="J6" s="2" t="s">
        <v>267</v>
      </c>
      <c r="K6" s="2" t="s">
        <v>1209</v>
      </c>
      <c r="L6" s="2" t="s">
        <v>1208</v>
      </c>
      <c r="M6" s="2" t="s">
        <v>16</v>
      </c>
      <c r="N6" s="2">
        <v>50</v>
      </c>
      <c r="O6" s="2">
        <v>43.8</v>
      </c>
      <c r="P6" s="2" t="s">
        <v>1223</v>
      </c>
      <c r="Q6" s="2" t="s">
        <v>1224</v>
      </c>
      <c r="R6" s="2" t="s">
        <v>138</v>
      </c>
      <c r="S6" s="2" t="s">
        <v>134</v>
      </c>
    </row>
    <row r="7" spans="1:22" x14ac:dyDescent="0.2">
      <c r="A7" s="2" t="s">
        <v>267</v>
      </c>
      <c r="B7" s="2">
        <v>268</v>
      </c>
      <c r="C7" s="2">
        <v>23.161999999999999</v>
      </c>
      <c r="D7" s="2">
        <v>120.64400000000001</v>
      </c>
      <c r="E7" s="2" t="s">
        <v>149</v>
      </c>
      <c r="F7" s="19" t="s">
        <v>1336</v>
      </c>
      <c r="G7" s="11" t="s">
        <v>1098</v>
      </c>
      <c r="H7" s="2" t="s">
        <v>1339</v>
      </c>
      <c r="I7" s="2" t="s">
        <v>1316</v>
      </c>
      <c r="O7" s="2">
        <v>71.5</v>
      </c>
      <c r="P7" s="2" t="s">
        <v>1231</v>
      </c>
      <c r="Q7" s="2" t="s">
        <v>1232</v>
      </c>
      <c r="R7" s="2" t="s">
        <v>153</v>
      </c>
      <c r="S7" s="2" t="s">
        <v>134</v>
      </c>
    </row>
    <row r="8" spans="1:22" x14ac:dyDescent="0.2">
      <c r="A8" s="15" t="s">
        <v>365</v>
      </c>
      <c r="B8" s="15">
        <v>183</v>
      </c>
      <c r="C8" s="15">
        <v>46.671990000000001</v>
      </c>
      <c r="D8" s="15">
        <v>10.72268</v>
      </c>
      <c r="E8" s="15" t="s">
        <v>140</v>
      </c>
      <c r="F8" s="19" t="s">
        <v>1093</v>
      </c>
      <c r="G8" s="11" t="s">
        <v>1099</v>
      </c>
      <c r="H8" s="2" t="s">
        <v>1338</v>
      </c>
      <c r="I8" s="15" t="s">
        <v>1315</v>
      </c>
      <c r="J8" s="11"/>
      <c r="K8" s="11"/>
      <c r="L8" s="11"/>
      <c r="M8" s="11"/>
      <c r="N8" s="11"/>
      <c r="O8" s="11"/>
      <c r="P8" s="15" t="s">
        <v>1225</v>
      </c>
      <c r="Q8" s="15" t="s">
        <v>1226</v>
      </c>
      <c r="R8" s="15" t="s">
        <v>121</v>
      </c>
      <c r="S8" s="15" t="s">
        <v>122</v>
      </c>
    </row>
    <row r="9" spans="1:22" x14ac:dyDescent="0.2">
      <c r="A9" s="15" t="s">
        <v>365</v>
      </c>
      <c r="B9" s="15">
        <v>184</v>
      </c>
      <c r="C9" s="15">
        <v>46.671990000000001</v>
      </c>
      <c r="D9" s="15">
        <v>10.72268</v>
      </c>
      <c r="E9" s="15" t="s">
        <v>147</v>
      </c>
      <c r="F9" s="19" t="s">
        <v>1093</v>
      </c>
      <c r="G9" s="11" t="s">
        <v>1099</v>
      </c>
      <c r="H9" s="2" t="s">
        <v>1338</v>
      </c>
      <c r="I9" s="15" t="s">
        <v>1315</v>
      </c>
      <c r="J9" s="11"/>
      <c r="K9" s="11"/>
      <c r="L9" s="11"/>
      <c r="M9" s="11"/>
      <c r="N9" s="11"/>
      <c r="O9" s="11"/>
      <c r="P9" s="15" t="s">
        <v>1227</v>
      </c>
      <c r="Q9" s="15" t="s">
        <v>1228</v>
      </c>
      <c r="R9" s="15" t="s">
        <v>121</v>
      </c>
      <c r="S9" s="15" t="s">
        <v>122</v>
      </c>
    </row>
    <row r="10" spans="1:22" x14ac:dyDescent="0.2">
      <c r="A10" s="15" t="s">
        <v>365</v>
      </c>
      <c r="B10" s="15">
        <v>185</v>
      </c>
      <c r="C10" s="15">
        <v>46.671990000000001</v>
      </c>
      <c r="D10" s="15">
        <v>10.72268</v>
      </c>
      <c r="E10" s="15" t="s">
        <v>148</v>
      </c>
      <c r="F10" s="19" t="s">
        <v>1093</v>
      </c>
      <c r="G10" s="11" t="s">
        <v>1099</v>
      </c>
      <c r="H10" s="2" t="s">
        <v>1338</v>
      </c>
      <c r="I10" s="15" t="s">
        <v>1315</v>
      </c>
      <c r="J10" s="11"/>
      <c r="K10" s="11"/>
      <c r="L10" s="11"/>
      <c r="M10" s="11"/>
      <c r="N10" s="11"/>
      <c r="O10" s="11"/>
      <c r="P10" s="15" t="s">
        <v>1229</v>
      </c>
      <c r="Q10" s="15" t="s">
        <v>1230</v>
      </c>
      <c r="R10" s="15" t="s">
        <v>121</v>
      </c>
      <c r="S10" s="15" t="s">
        <v>122</v>
      </c>
    </row>
    <row r="11" spans="1:22" x14ac:dyDescent="0.2">
      <c r="A11" s="2" t="s">
        <v>516</v>
      </c>
      <c r="B11" s="2">
        <v>157</v>
      </c>
      <c r="C11" s="2">
        <v>34.450499999999998</v>
      </c>
      <c r="D11" s="2">
        <v>-119.6259</v>
      </c>
      <c r="E11" s="2" t="s">
        <v>49</v>
      </c>
      <c r="F11" s="21" t="s">
        <v>95</v>
      </c>
      <c r="G11" s="12"/>
      <c r="H11" s="2" t="s">
        <v>1335</v>
      </c>
      <c r="I11" s="2" t="s">
        <v>49</v>
      </c>
      <c r="J11" s="13" t="s">
        <v>516</v>
      </c>
      <c r="K11" s="2" t="s">
        <v>4</v>
      </c>
      <c r="L11" s="14" t="s">
        <v>5</v>
      </c>
      <c r="M11" s="14" t="s">
        <v>14</v>
      </c>
      <c r="N11" s="14">
        <v>100</v>
      </c>
      <c r="O11" s="14">
        <v>0.2</v>
      </c>
      <c r="P11" s="2" t="s">
        <v>1233</v>
      </c>
      <c r="Q11" s="2" t="s">
        <v>1234</v>
      </c>
      <c r="R11" s="2" t="s">
        <v>121</v>
      </c>
      <c r="S11" s="2" t="s">
        <v>122</v>
      </c>
    </row>
    <row r="12" spans="1:22" x14ac:dyDescent="0.2">
      <c r="A12" s="2" t="s">
        <v>523</v>
      </c>
      <c r="B12" s="2">
        <v>158</v>
      </c>
      <c r="C12" s="2">
        <v>34.425400000000003</v>
      </c>
      <c r="D12" s="2">
        <v>-119.61</v>
      </c>
      <c r="E12" s="2" t="s">
        <v>155</v>
      </c>
      <c r="F12" s="21" t="s">
        <v>95</v>
      </c>
      <c r="G12" s="12"/>
      <c r="H12" s="2" t="s">
        <v>1335</v>
      </c>
      <c r="I12" s="2" t="s">
        <v>1322</v>
      </c>
      <c r="J12" s="13" t="s">
        <v>516</v>
      </c>
      <c r="K12" s="2" t="s">
        <v>4</v>
      </c>
      <c r="L12" s="14" t="s">
        <v>5</v>
      </c>
      <c r="M12" s="14" t="s">
        <v>14</v>
      </c>
      <c r="N12" s="14">
        <v>100</v>
      </c>
      <c r="O12" s="14">
        <v>0.2</v>
      </c>
      <c r="P12" s="2" t="s">
        <v>1235</v>
      </c>
      <c r="Q12" s="2" t="s">
        <v>1236</v>
      </c>
      <c r="R12" s="2" t="s">
        <v>121</v>
      </c>
      <c r="S12" s="2" t="s">
        <v>122</v>
      </c>
    </row>
    <row r="13" spans="1:22" ht="17" x14ac:dyDescent="0.2">
      <c r="A13" s="2" t="s">
        <v>267</v>
      </c>
      <c r="B13" s="2">
        <v>108</v>
      </c>
      <c r="C13" s="2">
        <v>46.201749999999997</v>
      </c>
      <c r="D13" s="2">
        <v>-121.49862</v>
      </c>
      <c r="E13" s="2" t="s">
        <v>160</v>
      </c>
      <c r="F13" s="19" t="s">
        <v>1336</v>
      </c>
      <c r="G13" s="22" t="s">
        <v>1096</v>
      </c>
      <c r="H13" s="2" t="s">
        <v>1335</v>
      </c>
      <c r="I13" s="2" t="s">
        <v>1323</v>
      </c>
      <c r="J13" s="2" t="s">
        <v>267</v>
      </c>
      <c r="K13" s="2" t="s">
        <v>104</v>
      </c>
      <c r="L13" s="2" t="s">
        <v>1210</v>
      </c>
      <c r="M13" s="2" t="s">
        <v>14</v>
      </c>
      <c r="O13" s="2">
        <v>31.8</v>
      </c>
      <c r="P13" s="2" t="s">
        <v>1239</v>
      </c>
      <c r="Q13" s="2" t="s">
        <v>1240</v>
      </c>
      <c r="R13" s="2" t="s">
        <v>138</v>
      </c>
      <c r="S13" s="2" t="s">
        <v>134</v>
      </c>
    </row>
    <row r="14" spans="1:22" x14ac:dyDescent="0.2">
      <c r="A14" s="2" t="s">
        <v>267</v>
      </c>
      <c r="B14" s="2">
        <v>285</v>
      </c>
      <c r="C14" s="2">
        <v>16.709</v>
      </c>
      <c r="D14" s="2">
        <v>-62.176200000000001</v>
      </c>
      <c r="E14" s="2" t="s">
        <v>157</v>
      </c>
      <c r="F14" s="19" t="s">
        <v>1093</v>
      </c>
      <c r="G14" s="12" t="s">
        <v>1098</v>
      </c>
      <c r="H14" s="2" t="s">
        <v>1338</v>
      </c>
      <c r="I14" s="2" t="s">
        <v>157</v>
      </c>
      <c r="O14" s="2">
        <v>19</v>
      </c>
      <c r="P14" s="2" t="s">
        <v>1237</v>
      </c>
      <c r="Q14" s="2" t="s">
        <v>1238</v>
      </c>
      <c r="R14" s="2" t="s">
        <v>159</v>
      </c>
      <c r="S14" s="2" t="s">
        <v>134</v>
      </c>
    </row>
    <row r="15" spans="1:22" x14ac:dyDescent="0.2">
      <c r="A15" s="2" t="s">
        <v>267</v>
      </c>
      <c r="B15" s="2">
        <v>53</v>
      </c>
      <c r="C15" s="2">
        <v>48.746679999999998</v>
      </c>
      <c r="D15" s="2">
        <v>-121.86256</v>
      </c>
      <c r="E15" s="2" t="s">
        <v>103</v>
      </c>
      <c r="F15" s="2" t="s">
        <v>95</v>
      </c>
      <c r="H15" s="2" t="s">
        <v>1335</v>
      </c>
      <c r="I15" s="2" t="s">
        <v>1324</v>
      </c>
      <c r="J15" s="2" t="s">
        <v>267</v>
      </c>
      <c r="K15" s="2" t="s">
        <v>104</v>
      </c>
      <c r="L15" s="2" t="s">
        <v>105</v>
      </c>
      <c r="M15" s="2" t="s">
        <v>14</v>
      </c>
      <c r="O15" s="2">
        <v>5</v>
      </c>
      <c r="P15" s="2" t="s">
        <v>1241</v>
      </c>
      <c r="Q15" s="2" t="s">
        <v>1242</v>
      </c>
      <c r="R15" s="2" t="s">
        <v>163</v>
      </c>
      <c r="S15" s="2" t="s">
        <v>134</v>
      </c>
    </row>
    <row r="16" spans="1:22" x14ac:dyDescent="0.2">
      <c r="A16" s="2" t="s">
        <v>267</v>
      </c>
      <c r="B16" s="2">
        <v>37</v>
      </c>
      <c r="C16" s="2">
        <v>45.346299999999999</v>
      </c>
      <c r="D16" s="2">
        <v>-121.6999</v>
      </c>
      <c r="E16" s="2" t="s">
        <v>213</v>
      </c>
      <c r="F16" s="2" t="s">
        <v>95</v>
      </c>
      <c r="H16" s="2" t="s">
        <v>1335</v>
      </c>
      <c r="I16" s="2" t="s">
        <v>1333</v>
      </c>
      <c r="J16" s="2" t="s">
        <v>267</v>
      </c>
      <c r="K16" s="2" t="s">
        <v>6</v>
      </c>
      <c r="L16" s="2" t="s">
        <v>1111</v>
      </c>
      <c r="M16" s="2" t="s">
        <v>14</v>
      </c>
      <c r="O16" s="2">
        <v>1.4</v>
      </c>
      <c r="P16" s="2" t="s">
        <v>1303</v>
      </c>
      <c r="Q16" s="2" t="s">
        <v>1304</v>
      </c>
      <c r="R16" s="2" t="s">
        <v>121</v>
      </c>
      <c r="S16" s="2" t="s">
        <v>122</v>
      </c>
    </row>
    <row r="17" spans="1:19" x14ac:dyDescent="0.2">
      <c r="A17" s="2" t="s">
        <v>267</v>
      </c>
      <c r="B17" s="2">
        <v>39</v>
      </c>
      <c r="C17" s="2">
        <v>45.346299999999999</v>
      </c>
      <c r="D17" s="2">
        <v>-121.6999</v>
      </c>
      <c r="E17" s="2" t="s">
        <v>213</v>
      </c>
      <c r="F17" s="2" t="s">
        <v>95</v>
      </c>
      <c r="H17" s="2" t="s">
        <v>1335</v>
      </c>
      <c r="I17" s="2" t="s">
        <v>1333</v>
      </c>
      <c r="J17" s="2" t="s">
        <v>267</v>
      </c>
      <c r="K17" s="2" t="s">
        <v>6</v>
      </c>
      <c r="L17" s="2" t="s">
        <v>1111</v>
      </c>
      <c r="M17" s="2" t="s">
        <v>14</v>
      </c>
      <c r="O17" s="2">
        <v>1.4</v>
      </c>
      <c r="P17" s="2" t="s">
        <v>1305</v>
      </c>
      <c r="Q17" s="2" t="s">
        <v>1306</v>
      </c>
      <c r="R17" s="2" t="s">
        <v>121</v>
      </c>
      <c r="S17" s="2" t="s">
        <v>122</v>
      </c>
    </row>
    <row r="18" spans="1:19" x14ac:dyDescent="0.2">
      <c r="A18" s="2" t="s">
        <v>267</v>
      </c>
      <c r="B18" s="2">
        <v>38</v>
      </c>
      <c r="C18" s="2">
        <v>45.346299999999999</v>
      </c>
      <c r="D18" s="2">
        <v>-121.6999</v>
      </c>
      <c r="E18" s="2" t="s">
        <v>213</v>
      </c>
      <c r="F18" s="2" t="s">
        <v>95</v>
      </c>
      <c r="H18" s="2" t="s">
        <v>1335</v>
      </c>
      <c r="I18" s="2" t="s">
        <v>1333</v>
      </c>
      <c r="J18" s="2" t="s">
        <v>267</v>
      </c>
      <c r="K18" s="2" t="s">
        <v>6</v>
      </c>
      <c r="L18" s="2" t="s">
        <v>1111</v>
      </c>
      <c r="M18" s="2" t="s">
        <v>14</v>
      </c>
      <c r="O18" s="2">
        <v>1.4</v>
      </c>
      <c r="P18" s="2" t="s">
        <v>1307</v>
      </c>
      <c r="Q18" s="2" t="s">
        <v>1308</v>
      </c>
      <c r="R18" s="2" t="s">
        <v>121</v>
      </c>
      <c r="S18" s="2" t="s">
        <v>122</v>
      </c>
    </row>
    <row r="19" spans="1:19" x14ac:dyDescent="0.2">
      <c r="A19" s="2" t="s">
        <v>267</v>
      </c>
      <c r="B19" s="2">
        <v>147</v>
      </c>
      <c r="C19" s="2">
        <v>50.344799999999999</v>
      </c>
      <c r="D19" s="2">
        <v>-122.4511</v>
      </c>
      <c r="E19" s="2" t="s">
        <v>296</v>
      </c>
      <c r="F19" s="19" t="s">
        <v>1336</v>
      </c>
      <c r="G19" s="19" t="s">
        <v>1096</v>
      </c>
      <c r="H19" s="2" t="s">
        <v>1335</v>
      </c>
      <c r="I19" s="2" t="s">
        <v>1325</v>
      </c>
      <c r="J19" s="2" t="s">
        <v>267</v>
      </c>
      <c r="K19" s="2" t="s">
        <v>1207</v>
      </c>
      <c r="L19" s="2" t="s">
        <v>1211</v>
      </c>
      <c r="M19" s="2" t="s">
        <v>13</v>
      </c>
      <c r="O19" s="2">
        <v>41.4</v>
      </c>
      <c r="P19" s="2" t="s">
        <v>1243</v>
      </c>
      <c r="Q19" s="2" t="s">
        <v>1244</v>
      </c>
      <c r="R19" s="2" t="s">
        <v>298</v>
      </c>
      <c r="S19" s="2" t="s">
        <v>134</v>
      </c>
    </row>
    <row r="20" spans="1:19" x14ac:dyDescent="0.2">
      <c r="A20" s="2" t="s">
        <v>267</v>
      </c>
      <c r="B20" s="2">
        <v>148</v>
      </c>
      <c r="C20" s="2">
        <v>50.3431</v>
      </c>
      <c r="D20" s="2">
        <v>-122.44880000000001</v>
      </c>
      <c r="E20" s="2" t="s">
        <v>818</v>
      </c>
      <c r="F20" s="19" t="s">
        <v>1336</v>
      </c>
      <c r="G20" s="19" t="s">
        <v>1096</v>
      </c>
      <c r="H20" s="2" t="s">
        <v>1335</v>
      </c>
      <c r="I20" s="2" t="s">
        <v>1325</v>
      </c>
      <c r="J20" s="2" t="s">
        <v>267</v>
      </c>
      <c r="K20" s="2" t="s">
        <v>1207</v>
      </c>
      <c r="L20" s="2" t="s">
        <v>1211</v>
      </c>
      <c r="M20" s="2" t="s">
        <v>13</v>
      </c>
      <c r="O20" s="2">
        <v>41.4</v>
      </c>
      <c r="P20" s="2" t="s">
        <v>1245</v>
      </c>
      <c r="Q20" s="2" t="s">
        <v>1246</v>
      </c>
      <c r="R20" s="2" t="s">
        <v>298</v>
      </c>
      <c r="S20" s="2" t="s">
        <v>134</v>
      </c>
    </row>
    <row r="21" spans="1:19" x14ac:dyDescent="0.2">
      <c r="A21" s="2" t="s">
        <v>466</v>
      </c>
      <c r="B21" s="2">
        <v>11</v>
      </c>
      <c r="C21" s="2">
        <v>50.631079999999997</v>
      </c>
      <c r="D21" s="2">
        <v>-123.50387000000001</v>
      </c>
      <c r="E21" s="2" t="s">
        <v>650</v>
      </c>
      <c r="F21" s="19" t="s">
        <v>1336</v>
      </c>
      <c r="G21" s="19" t="s">
        <v>1096</v>
      </c>
      <c r="H21" s="2" t="s">
        <v>1335</v>
      </c>
      <c r="I21" s="2" t="s">
        <v>1326</v>
      </c>
      <c r="J21" s="2" t="s">
        <v>267</v>
      </c>
      <c r="K21" s="2" t="s">
        <v>1207</v>
      </c>
      <c r="L21" s="2" t="s">
        <v>1212</v>
      </c>
      <c r="M21" s="2" t="s">
        <v>16</v>
      </c>
      <c r="O21" s="2">
        <v>69.8</v>
      </c>
      <c r="P21" s="2" t="s">
        <v>1247</v>
      </c>
      <c r="Q21" s="2" t="s">
        <v>1248</v>
      </c>
      <c r="R21" s="2" t="s">
        <v>652</v>
      </c>
      <c r="S21" s="2" t="s">
        <v>134</v>
      </c>
    </row>
    <row r="22" spans="1:19" x14ac:dyDescent="0.2">
      <c r="A22" s="2" t="s">
        <v>267</v>
      </c>
      <c r="B22" s="2">
        <v>175</v>
      </c>
      <c r="C22" s="2">
        <v>46.819099999999999</v>
      </c>
      <c r="D22" s="2">
        <v>-121.81</v>
      </c>
      <c r="E22" s="2" t="s">
        <v>164</v>
      </c>
      <c r="F22" s="2" t="s">
        <v>95</v>
      </c>
      <c r="H22" s="2" t="s">
        <v>1335</v>
      </c>
      <c r="I22" s="2" t="s">
        <v>1327</v>
      </c>
      <c r="J22" s="2" t="s">
        <v>267</v>
      </c>
      <c r="K22" s="2" t="s">
        <v>104</v>
      </c>
      <c r="L22" s="2" t="s">
        <v>1100</v>
      </c>
      <c r="M22" s="2" t="s">
        <v>14</v>
      </c>
      <c r="O22" s="2">
        <v>2.5</v>
      </c>
      <c r="P22" s="2" t="s">
        <v>1249</v>
      </c>
      <c r="Q22" s="2" t="s">
        <v>1250</v>
      </c>
      <c r="R22" s="2" t="s">
        <v>121</v>
      </c>
      <c r="S22" s="2" t="s">
        <v>122</v>
      </c>
    </row>
    <row r="23" spans="1:19" x14ac:dyDescent="0.2">
      <c r="A23" s="2" t="s">
        <v>267</v>
      </c>
      <c r="B23" s="2">
        <v>32</v>
      </c>
      <c r="C23" s="2">
        <v>46.819339999999997</v>
      </c>
      <c r="D23" s="2">
        <v>-121.81323</v>
      </c>
      <c r="E23" s="2" t="s">
        <v>164</v>
      </c>
      <c r="F23" s="2" t="s">
        <v>95</v>
      </c>
      <c r="H23" s="2" t="s">
        <v>1335</v>
      </c>
      <c r="I23" s="2" t="s">
        <v>1327</v>
      </c>
      <c r="J23" s="2" t="s">
        <v>267</v>
      </c>
      <c r="K23" s="2" t="s">
        <v>104</v>
      </c>
      <c r="L23" s="2" t="s">
        <v>1100</v>
      </c>
      <c r="M23" s="2" t="s">
        <v>14</v>
      </c>
      <c r="O23" s="2">
        <v>2.5</v>
      </c>
      <c r="P23" s="2" t="s">
        <v>1251</v>
      </c>
      <c r="Q23" s="2" t="s">
        <v>1252</v>
      </c>
      <c r="R23" s="2" t="s">
        <v>167</v>
      </c>
      <c r="S23" s="2" t="s">
        <v>122</v>
      </c>
    </row>
    <row r="24" spans="1:19" x14ac:dyDescent="0.2">
      <c r="A24" s="2" t="s">
        <v>267</v>
      </c>
      <c r="B24" s="2">
        <v>106</v>
      </c>
      <c r="C24" s="2">
        <v>46.874600000000001</v>
      </c>
      <c r="D24" s="2">
        <v>-121.75369999999999</v>
      </c>
      <c r="E24" s="2" t="s">
        <v>469</v>
      </c>
      <c r="F24" s="2" t="s">
        <v>95</v>
      </c>
      <c r="H24" s="2" t="s">
        <v>1335</v>
      </c>
      <c r="I24" s="2" t="s">
        <v>1327</v>
      </c>
      <c r="J24" s="2" t="s">
        <v>267</v>
      </c>
      <c r="K24" s="2" t="s">
        <v>104</v>
      </c>
      <c r="L24" s="2" t="s">
        <v>1109</v>
      </c>
      <c r="M24" s="2" t="s">
        <v>14</v>
      </c>
      <c r="O24" s="2">
        <v>1.7</v>
      </c>
      <c r="P24" s="2" t="s">
        <v>1291</v>
      </c>
      <c r="Q24" s="2" t="s">
        <v>1292</v>
      </c>
      <c r="R24" s="2" t="s">
        <v>471</v>
      </c>
      <c r="S24" s="2" t="s">
        <v>134</v>
      </c>
    </row>
    <row r="25" spans="1:19" x14ac:dyDescent="0.2">
      <c r="A25" s="2" t="s">
        <v>267</v>
      </c>
      <c r="B25" s="2">
        <v>126</v>
      </c>
      <c r="C25" s="2">
        <v>46.874600000000001</v>
      </c>
      <c r="D25" s="2">
        <v>-121.75369999999999</v>
      </c>
      <c r="E25" s="2" t="s">
        <v>1047</v>
      </c>
      <c r="F25" s="2" t="s">
        <v>95</v>
      </c>
      <c r="H25" s="2" t="s">
        <v>1335</v>
      </c>
      <c r="I25" s="2" t="s">
        <v>1327</v>
      </c>
      <c r="J25" s="2" t="s">
        <v>267</v>
      </c>
      <c r="K25" s="2" t="s">
        <v>104</v>
      </c>
      <c r="L25" s="2" t="s">
        <v>1109</v>
      </c>
      <c r="M25" s="2" t="s">
        <v>14</v>
      </c>
      <c r="O25" s="2">
        <v>1.7</v>
      </c>
      <c r="P25" s="2" t="s">
        <v>1293</v>
      </c>
      <c r="Q25" s="2" t="s">
        <v>1294</v>
      </c>
      <c r="R25" s="2" t="s">
        <v>471</v>
      </c>
      <c r="S25" s="2" t="s">
        <v>134</v>
      </c>
    </row>
    <row r="26" spans="1:19" x14ac:dyDescent="0.2">
      <c r="A26" s="2" t="s">
        <v>267</v>
      </c>
      <c r="B26" s="2">
        <v>178</v>
      </c>
      <c r="C26" s="2">
        <v>46.819099999999999</v>
      </c>
      <c r="D26" s="2">
        <v>-121.81</v>
      </c>
      <c r="E26" s="2" t="s">
        <v>211</v>
      </c>
      <c r="F26" s="2" t="s">
        <v>95</v>
      </c>
      <c r="H26" s="2" t="s">
        <v>1335</v>
      </c>
      <c r="I26" s="2" t="s">
        <v>1327</v>
      </c>
      <c r="J26" s="2" t="s">
        <v>267</v>
      </c>
      <c r="K26" s="2" t="s">
        <v>104</v>
      </c>
      <c r="L26" s="2" t="s">
        <v>1100</v>
      </c>
      <c r="M26" s="2" t="s">
        <v>14</v>
      </c>
      <c r="O26" s="2">
        <v>2.5</v>
      </c>
      <c r="P26" s="2" t="s">
        <v>1299</v>
      </c>
      <c r="Q26" s="2" t="s">
        <v>1300</v>
      </c>
      <c r="R26" s="2" t="s">
        <v>167</v>
      </c>
      <c r="S26" s="2" t="s">
        <v>122</v>
      </c>
    </row>
    <row r="27" spans="1:19" x14ac:dyDescent="0.2">
      <c r="A27" s="2" t="s">
        <v>285</v>
      </c>
      <c r="B27" s="2">
        <v>281</v>
      </c>
      <c r="C27" s="2">
        <v>41.409100000000002</v>
      </c>
      <c r="D27" s="2">
        <v>-122.1879</v>
      </c>
      <c r="E27" s="2" t="s">
        <v>118</v>
      </c>
      <c r="F27" s="2" t="s">
        <v>95</v>
      </c>
      <c r="H27" s="2" t="s">
        <v>1335</v>
      </c>
      <c r="I27" s="2" t="s">
        <v>1318</v>
      </c>
      <c r="J27" s="2" t="s">
        <v>267</v>
      </c>
      <c r="K27" s="2" t="s">
        <v>1084</v>
      </c>
      <c r="L27" s="2" t="s">
        <v>1083</v>
      </c>
      <c r="M27" s="2" t="s">
        <v>13</v>
      </c>
      <c r="O27" s="2">
        <v>7.2</v>
      </c>
      <c r="P27" s="2" t="s">
        <v>1217</v>
      </c>
      <c r="Q27" s="2" t="s">
        <v>1218</v>
      </c>
      <c r="R27" s="2" t="s">
        <v>121</v>
      </c>
      <c r="S27" s="2" t="s">
        <v>122</v>
      </c>
    </row>
    <row r="28" spans="1:19" x14ac:dyDescent="0.2">
      <c r="A28" s="2" t="s">
        <v>285</v>
      </c>
      <c r="B28" s="2">
        <v>278</v>
      </c>
      <c r="C28" s="2">
        <v>41.390700000000002</v>
      </c>
      <c r="D28" s="2">
        <v>-122.1855</v>
      </c>
      <c r="E28" s="2" t="s">
        <v>179</v>
      </c>
      <c r="F28" s="23" t="s">
        <v>96</v>
      </c>
      <c r="G28" s="23" t="s">
        <v>1096</v>
      </c>
      <c r="H28" s="2" t="s">
        <v>1335</v>
      </c>
      <c r="I28" s="2" t="s">
        <v>1318</v>
      </c>
      <c r="J28" s="2" t="s">
        <v>267</v>
      </c>
      <c r="K28" s="2" t="s">
        <v>1084</v>
      </c>
      <c r="L28" s="2" t="s">
        <v>1083</v>
      </c>
      <c r="M28" s="2" t="s">
        <v>13</v>
      </c>
      <c r="N28" s="2">
        <v>50</v>
      </c>
      <c r="O28" s="2">
        <v>5.2</v>
      </c>
      <c r="P28" s="2" t="s">
        <v>1267</v>
      </c>
      <c r="Q28" s="2" t="s">
        <v>1268</v>
      </c>
      <c r="R28" s="2" t="s">
        <v>121</v>
      </c>
      <c r="S28" s="2" t="s">
        <v>122</v>
      </c>
    </row>
    <row r="29" spans="1:19" x14ac:dyDescent="0.2">
      <c r="A29" s="2" t="s">
        <v>285</v>
      </c>
      <c r="B29" s="2">
        <v>279</v>
      </c>
      <c r="C29" s="2">
        <v>41.392800000000001</v>
      </c>
      <c r="D29" s="2">
        <v>-122.1883</v>
      </c>
      <c r="E29" s="2" t="s">
        <v>179</v>
      </c>
      <c r="F29" s="23" t="s">
        <v>96</v>
      </c>
      <c r="G29" s="23" t="s">
        <v>1096</v>
      </c>
      <c r="H29" s="2" t="s">
        <v>1335</v>
      </c>
      <c r="I29" s="2" t="s">
        <v>1318</v>
      </c>
      <c r="J29" s="2" t="s">
        <v>267</v>
      </c>
      <c r="K29" s="2" t="s">
        <v>1084</v>
      </c>
      <c r="L29" s="2" t="s">
        <v>1083</v>
      </c>
      <c r="M29" s="2" t="s">
        <v>13</v>
      </c>
      <c r="N29" s="2">
        <v>50</v>
      </c>
      <c r="O29" s="2">
        <v>5.2</v>
      </c>
      <c r="P29" s="2" t="s">
        <v>1269</v>
      </c>
      <c r="Q29" s="2" t="s">
        <v>1270</v>
      </c>
      <c r="R29" s="2" t="s">
        <v>121</v>
      </c>
      <c r="S29" s="2" t="s">
        <v>122</v>
      </c>
    </row>
    <row r="30" spans="1:19" x14ac:dyDescent="0.2">
      <c r="A30" s="2" t="s">
        <v>287</v>
      </c>
      <c r="B30" s="2">
        <v>3</v>
      </c>
      <c r="C30" s="2">
        <v>41.399470000000001</v>
      </c>
      <c r="D30" s="2">
        <v>-122.19732</v>
      </c>
      <c r="E30" s="2" t="s">
        <v>179</v>
      </c>
      <c r="F30" s="23" t="s">
        <v>96</v>
      </c>
      <c r="G30" s="23" t="s">
        <v>1096</v>
      </c>
      <c r="H30" s="2" t="s">
        <v>1335</v>
      </c>
      <c r="I30" s="2" t="s">
        <v>1318</v>
      </c>
      <c r="J30" s="2" t="s">
        <v>267</v>
      </c>
      <c r="K30" s="2" t="s">
        <v>1084</v>
      </c>
      <c r="L30" s="2" t="s">
        <v>1104</v>
      </c>
      <c r="M30" s="2" t="s">
        <v>14</v>
      </c>
      <c r="N30" s="2">
        <v>50</v>
      </c>
      <c r="O30" s="2">
        <v>7.3</v>
      </c>
      <c r="P30" s="2" t="s">
        <v>1271</v>
      </c>
      <c r="Q30" s="2" t="s">
        <v>1272</v>
      </c>
      <c r="R30" s="2" t="s">
        <v>167</v>
      </c>
      <c r="S30" s="2" t="s">
        <v>122</v>
      </c>
    </row>
    <row r="31" spans="1:19" x14ac:dyDescent="0.2">
      <c r="A31" s="2" t="s">
        <v>285</v>
      </c>
      <c r="B31" s="2">
        <v>280</v>
      </c>
      <c r="C31" s="2">
        <v>41.419699999999999</v>
      </c>
      <c r="D31" s="2">
        <v>-122.2115</v>
      </c>
      <c r="E31" s="2" t="s">
        <v>217</v>
      </c>
      <c r="F31" s="2" t="s">
        <v>95</v>
      </c>
      <c r="H31" s="2" t="s">
        <v>1335</v>
      </c>
      <c r="I31" s="2" t="s">
        <v>1318</v>
      </c>
      <c r="J31" s="2" t="s">
        <v>267</v>
      </c>
      <c r="K31" s="2" t="s">
        <v>1084</v>
      </c>
      <c r="L31" s="2" t="s">
        <v>1112</v>
      </c>
      <c r="M31" s="2" t="s">
        <v>14</v>
      </c>
      <c r="O31" s="2">
        <v>8.9</v>
      </c>
      <c r="P31" s="2" t="s">
        <v>1309</v>
      </c>
      <c r="Q31" s="2" t="s">
        <v>1310</v>
      </c>
      <c r="R31" s="2" t="s">
        <v>121</v>
      </c>
      <c r="S31" s="2" t="s">
        <v>122</v>
      </c>
    </row>
    <row r="32" spans="1:19" x14ac:dyDescent="0.2">
      <c r="A32" s="2" t="s">
        <v>285</v>
      </c>
      <c r="B32" s="2">
        <v>282</v>
      </c>
      <c r="C32" s="2">
        <v>41.429299999999998</v>
      </c>
      <c r="D32" s="2">
        <v>-122.2059</v>
      </c>
      <c r="E32" s="2" t="s">
        <v>219</v>
      </c>
      <c r="F32" s="2" t="s">
        <v>95</v>
      </c>
      <c r="H32" s="2" t="s">
        <v>1335</v>
      </c>
      <c r="I32" s="2" t="s">
        <v>1318</v>
      </c>
      <c r="J32" s="2" t="s">
        <v>267</v>
      </c>
      <c r="K32" s="2" t="s">
        <v>1084</v>
      </c>
      <c r="L32" s="2" t="s">
        <v>1112</v>
      </c>
      <c r="M32" s="2" t="s">
        <v>14</v>
      </c>
      <c r="O32" s="2">
        <v>8.9</v>
      </c>
      <c r="P32" s="2" t="s">
        <v>1311</v>
      </c>
      <c r="Q32" s="2" t="s">
        <v>1312</v>
      </c>
      <c r="R32" s="2" t="s">
        <v>121</v>
      </c>
      <c r="S32" s="2" t="s">
        <v>122</v>
      </c>
    </row>
    <row r="33" spans="1:19" x14ac:dyDescent="0.2">
      <c r="A33" s="2" t="s">
        <v>267</v>
      </c>
      <c r="B33" s="2">
        <v>1</v>
      </c>
      <c r="C33" s="2">
        <v>61.225940000000001</v>
      </c>
      <c r="D33" s="2">
        <v>-152.16867999999999</v>
      </c>
      <c r="E33" s="2" t="s">
        <v>168</v>
      </c>
      <c r="F33" s="23" t="s">
        <v>96</v>
      </c>
      <c r="G33" s="23" t="s">
        <v>1096</v>
      </c>
      <c r="H33" s="2" t="s">
        <v>1335</v>
      </c>
      <c r="I33" s="2" t="s">
        <v>1328</v>
      </c>
      <c r="J33" s="2" t="s">
        <v>267</v>
      </c>
      <c r="K33" s="2" t="s">
        <v>1102</v>
      </c>
      <c r="L33" s="2" t="s">
        <v>1101</v>
      </c>
      <c r="M33" s="2" t="s">
        <v>14</v>
      </c>
      <c r="N33" s="2">
        <v>50</v>
      </c>
      <c r="O33" s="2">
        <v>0.9</v>
      </c>
      <c r="P33" s="2" t="s">
        <v>1253</v>
      </c>
      <c r="Q33" s="2" t="s">
        <v>1254</v>
      </c>
      <c r="R33" s="2" t="s">
        <v>144</v>
      </c>
      <c r="S33" s="2" t="s">
        <v>122</v>
      </c>
    </row>
    <row r="34" spans="1:19" x14ac:dyDescent="0.2">
      <c r="A34" s="2" t="s">
        <v>320</v>
      </c>
      <c r="B34" s="2">
        <v>2</v>
      </c>
      <c r="C34" s="2">
        <v>61.225940000000001</v>
      </c>
      <c r="D34" s="2">
        <v>-152.16867999999999</v>
      </c>
      <c r="E34" s="2" t="s">
        <v>168</v>
      </c>
      <c r="F34" s="23" t="s">
        <v>96</v>
      </c>
      <c r="G34" s="23" t="s">
        <v>1096</v>
      </c>
      <c r="H34" s="2" t="s">
        <v>1335</v>
      </c>
      <c r="I34" s="2" t="s">
        <v>1328</v>
      </c>
      <c r="J34" s="2" t="s">
        <v>267</v>
      </c>
      <c r="K34" s="2" t="s">
        <v>1102</v>
      </c>
      <c r="L34" s="2" t="s">
        <v>1101</v>
      </c>
      <c r="M34" s="2" t="s">
        <v>14</v>
      </c>
      <c r="N34" s="2">
        <v>50</v>
      </c>
      <c r="O34" s="2">
        <v>0.9</v>
      </c>
      <c r="P34" s="2" t="s">
        <v>1255</v>
      </c>
      <c r="Q34" s="2" t="s">
        <v>1256</v>
      </c>
      <c r="R34" s="2" t="s">
        <v>144</v>
      </c>
      <c r="S34" s="2" t="s">
        <v>122</v>
      </c>
    </row>
    <row r="35" spans="1:19" x14ac:dyDescent="0.2">
      <c r="A35" s="2" t="s">
        <v>267</v>
      </c>
      <c r="B35" s="2">
        <v>103</v>
      </c>
      <c r="C35" s="2">
        <v>61.225900000000003</v>
      </c>
      <c r="D35" s="2">
        <v>-152.1687</v>
      </c>
      <c r="E35" s="2" t="s">
        <v>171</v>
      </c>
      <c r="F35" s="23" t="s">
        <v>96</v>
      </c>
      <c r="G35" s="23" t="s">
        <v>1096</v>
      </c>
      <c r="H35" s="2" t="s">
        <v>1335</v>
      </c>
      <c r="I35" s="2" t="s">
        <v>1328</v>
      </c>
      <c r="J35" s="2" t="s">
        <v>267</v>
      </c>
      <c r="K35" s="2" t="s">
        <v>1102</v>
      </c>
      <c r="L35" s="2" t="s">
        <v>1101</v>
      </c>
      <c r="M35" s="2" t="s">
        <v>14</v>
      </c>
      <c r="N35" s="2">
        <v>50</v>
      </c>
      <c r="O35" s="2">
        <v>0.9</v>
      </c>
      <c r="P35" s="2" t="s">
        <v>1257</v>
      </c>
      <c r="Q35" s="2" t="s">
        <v>1258</v>
      </c>
      <c r="R35" s="2" t="s">
        <v>144</v>
      </c>
      <c r="S35" s="2" t="s">
        <v>122</v>
      </c>
    </row>
    <row r="36" spans="1:19" x14ac:dyDescent="0.2">
      <c r="A36" s="2" t="s">
        <v>267</v>
      </c>
      <c r="B36" s="2">
        <v>104</v>
      </c>
      <c r="C36" s="2">
        <v>61.225900000000003</v>
      </c>
      <c r="D36" s="2">
        <v>-152.1687</v>
      </c>
      <c r="E36" s="2" t="s">
        <v>173</v>
      </c>
      <c r="F36" s="23" t="s">
        <v>96</v>
      </c>
      <c r="G36" s="23" t="s">
        <v>1096</v>
      </c>
      <c r="H36" s="2" t="s">
        <v>1335</v>
      </c>
      <c r="I36" s="2" t="s">
        <v>1328</v>
      </c>
      <c r="J36" s="2" t="s">
        <v>267</v>
      </c>
      <c r="K36" s="2" t="s">
        <v>1102</v>
      </c>
      <c r="L36" s="2" t="s">
        <v>1101</v>
      </c>
      <c r="M36" s="2" t="s">
        <v>14</v>
      </c>
      <c r="N36" s="2">
        <v>50</v>
      </c>
      <c r="O36" s="2">
        <v>0.9</v>
      </c>
      <c r="P36" s="2" t="s">
        <v>1259</v>
      </c>
      <c r="Q36" s="2" t="s">
        <v>1260</v>
      </c>
      <c r="R36" s="2" t="s">
        <v>144</v>
      </c>
      <c r="S36" s="2" t="s">
        <v>122</v>
      </c>
    </row>
    <row r="37" spans="1:19" x14ac:dyDescent="0.2">
      <c r="A37" s="2" t="s">
        <v>267</v>
      </c>
      <c r="B37" s="2">
        <v>5</v>
      </c>
      <c r="C37" s="2">
        <v>46.213000000000001</v>
      </c>
      <c r="D37" s="2">
        <v>-122.191</v>
      </c>
      <c r="E37" s="2" t="s">
        <v>175</v>
      </c>
      <c r="F37" s="23" t="s">
        <v>96</v>
      </c>
      <c r="G37" s="23" t="s">
        <v>1096</v>
      </c>
      <c r="H37" s="2" t="s">
        <v>1335</v>
      </c>
      <c r="I37" s="2" t="s">
        <v>1329</v>
      </c>
      <c r="J37" s="2" t="s">
        <v>267</v>
      </c>
      <c r="K37" s="2" t="s">
        <v>6</v>
      </c>
      <c r="L37" s="2" t="s">
        <v>1103</v>
      </c>
      <c r="M37" s="2" t="s">
        <v>16</v>
      </c>
      <c r="N37" s="2">
        <v>50</v>
      </c>
      <c r="O37" s="2">
        <v>0.2</v>
      </c>
      <c r="P37" s="2" t="s">
        <v>1261</v>
      </c>
      <c r="Q37" s="2" t="s">
        <v>1262</v>
      </c>
      <c r="R37" s="2" t="s">
        <v>121</v>
      </c>
      <c r="S37" s="2" t="s">
        <v>122</v>
      </c>
    </row>
    <row r="38" spans="1:19" x14ac:dyDescent="0.2">
      <c r="A38" s="2" t="s">
        <v>267</v>
      </c>
      <c r="B38" s="2">
        <v>52</v>
      </c>
      <c r="C38" s="2">
        <v>46.205080000000002</v>
      </c>
      <c r="D38" s="2">
        <v>-122.21442</v>
      </c>
      <c r="E38" s="2" t="s">
        <v>175</v>
      </c>
      <c r="F38" s="23" t="s">
        <v>96</v>
      </c>
      <c r="G38" s="23" t="s">
        <v>1096</v>
      </c>
      <c r="H38" s="2" t="s">
        <v>1335</v>
      </c>
      <c r="I38" s="2" t="s">
        <v>1329</v>
      </c>
      <c r="J38" s="2" t="s">
        <v>267</v>
      </c>
      <c r="K38" s="2" t="s">
        <v>6</v>
      </c>
      <c r="L38" s="2" t="s">
        <v>1103</v>
      </c>
      <c r="M38" s="2" t="s">
        <v>16</v>
      </c>
      <c r="N38" s="2">
        <v>50</v>
      </c>
      <c r="O38" s="2">
        <v>0.2</v>
      </c>
      <c r="P38" s="2" t="s">
        <v>1263</v>
      </c>
      <c r="Q38" s="2" t="s">
        <v>1264</v>
      </c>
      <c r="R38" s="2" t="s">
        <v>121</v>
      </c>
      <c r="S38" s="2" t="s">
        <v>122</v>
      </c>
    </row>
    <row r="39" spans="1:19" x14ac:dyDescent="0.2">
      <c r="A39" s="2" t="s">
        <v>267</v>
      </c>
      <c r="B39" s="2">
        <v>35</v>
      </c>
      <c r="C39" s="2">
        <v>46.205080000000002</v>
      </c>
      <c r="D39" s="2">
        <v>-122.21442</v>
      </c>
      <c r="E39" s="2" t="s">
        <v>175</v>
      </c>
      <c r="F39" s="23" t="s">
        <v>96</v>
      </c>
      <c r="G39" s="23" t="s">
        <v>1096</v>
      </c>
      <c r="H39" s="2" t="s">
        <v>1335</v>
      </c>
      <c r="I39" s="2" t="s">
        <v>1329</v>
      </c>
      <c r="J39" s="2" t="s">
        <v>267</v>
      </c>
      <c r="K39" s="2" t="s">
        <v>6</v>
      </c>
      <c r="L39" s="2" t="s">
        <v>1103</v>
      </c>
      <c r="M39" s="2" t="s">
        <v>16</v>
      </c>
      <c r="N39" s="2">
        <v>50</v>
      </c>
      <c r="O39" s="2">
        <v>0.2</v>
      </c>
      <c r="P39" s="2" t="s">
        <v>1265</v>
      </c>
      <c r="Q39" s="2" t="s">
        <v>1266</v>
      </c>
      <c r="R39" s="2" t="s">
        <v>121</v>
      </c>
      <c r="S39" s="2" t="s">
        <v>122</v>
      </c>
    </row>
    <row r="40" spans="1:19" x14ac:dyDescent="0.2">
      <c r="A40" s="2" t="s">
        <v>267</v>
      </c>
      <c r="B40" s="2">
        <v>276</v>
      </c>
      <c r="C40" s="2">
        <v>35.26</v>
      </c>
      <c r="D40" s="2">
        <v>-111.62291999999999</v>
      </c>
      <c r="E40" s="2" t="s">
        <v>183</v>
      </c>
      <c r="F40" s="2" t="s">
        <v>95</v>
      </c>
      <c r="H40" s="2" t="s">
        <v>1335</v>
      </c>
      <c r="I40" s="2" t="s">
        <v>1330</v>
      </c>
      <c r="J40" s="2" t="s">
        <v>267</v>
      </c>
      <c r="K40" s="2" t="s">
        <v>3</v>
      </c>
      <c r="L40" s="2" t="s">
        <v>1105</v>
      </c>
      <c r="M40" s="2" t="s">
        <v>14</v>
      </c>
      <c r="N40" s="2">
        <v>200</v>
      </c>
      <c r="O40" s="2">
        <v>0.1</v>
      </c>
      <c r="P40" s="2" t="s">
        <v>1273</v>
      </c>
      <c r="Q40" s="2" t="s">
        <v>1274</v>
      </c>
      <c r="R40" s="2" t="s">
        <v>121</v>
      </c>
      <c r="S40" s="2" t="s">
        <v>122</v>
      </c>
    </row>
    <row r="41" spans="1:19" x14ac:dyDescent="0.2">
      <c r="A41" s="2" t="s">
        <v>466</v>
      </c>
      <c r="B41" s="2">
        <v>12</v>
      </c>
      <c r="C41" s="2">
        <v>48.28631</v>
      </c>
      <c r="D41" s="2">
        <v>-121.85259000000001</v>
      </c>
      <c r="E41" s="2" t="s">
        <v>185</v>
      </c>
      <c r="F41" s="19" t="s">
        <v>1336</v>
      </c>
      <c r="G41" s="19" t="s">
        <v>1096</v>
      </c>
      <c r="H41" s="2" t="s">
        <v>1335</v>
      </c>
      <c r="I41" s="2" t="s">
        <v>1317</v>
      </c>
      <c r="J41" s="2" t="s">
        <v>267</v>
      </c>
      <c r="K41" s="2" t="s">
        <v>104</v>
      </c>
      <c r="L41" s="2" t="s">
        <v>1213</v>
      </c>
      <c r="M41" s="2" t="s">
        <v>14</v>
      </c>
      <c r="O41" s="2">
        <v>11.5</v>
      </c>
      <c r="P41" s="2" t="s">
        <v>1275</v>
      </c>
      <c r="Q41" s="2" t="s">
        <v>1276</v>
      </c>
      <c r="R41" s="2" t="s">
        <v>187</v>
      </c>
      <c r="S41" s="2" t="s">
        <v>134</v>
      </c>
    </row>
    <row r="42" spans="1:19" x14ac:dyDescent="0.2">
      <c r="A42" s="2" t="s">
        <v>267</v>
      </c>
      <c r="B42" s="2">
        <v>107</v>
      </c>
      <c r="C42" s="2">
        <v>48.286630000000002</v>
      </c>
      <c r="D42" s="2">
        <v>-121.85026000000001</v>
      </c>
      <c r="E42" s="2" t="s">
        <v>188</v>
      </c>
      <c r="F42" s="19" t="s">
        <v>95</v>
      </c>
      <c r="H42" s="2" t="s">
        <v>1335</v>
      </c>
      <c r="I42" s="2" t="s">
        <v>1317</v>
      </c>
      <c r="J42" s="2" t="s">
        <v>267</v>
      </c>
      <c r="K42" s="2" t="s">
        <v>6</v>
      </c>
      <c r="L42" s="2" t="s">
        <v>1106</v>
      </c>
      <c r="M42" s="2" t="s">
        <v>14</v>
      </c>
      <c r="N42" s="2">
        <v>50</v>
      </c>
      <c r="O42" s="2">
        <v>0.2</v>
      </c>
      <c r="P42" s="2" t="s">
        <v>1277</v>
      </c>
      <c r="Q42" s="2" t="s">
        <v>1278</v>
      </c>
      <c r="R42" s="2" t="s">
        <v>190</v>
      </c>
      <c r="S42" s="2" t="s">
        <v>191</v>
      </c>
    </row>
    <row r="43" spans="1:19" x14ac:dyDescent="0.2">
      <c r="A43" s="2" t="s">
        <v>267</v>
      </c>
      <c r="B43" s="2">
        <v>58</v>
      </c>
      <c r="C43" s="2">
        <v>48.2866</v>
      </c>
      <c r="D43" s="2">
        <v>-121.85026000000001</v>
      </c>
      <c r="E43" s="2" t="s">
        <v>192</v>
      </c>
      <c r="F43" s="19" t="s">
        <v>1336</v>
      </c>
      <c r="G43" s="19" t="s">
        <v>1096</v>
      </c>
      <c r="H43" s="2" t="s">
        <v>1335</v>
      </c>
      <c r="I43" s="2" t="s">
        <v>1317</v>
      </c>
      <c r="J43" s="2" t="s">
        <v>267</v>
      </c>
      <c r="K43" s="2" t="s">
        <v>104</v>
      </c>
      <c r="L43" s="2" t="s">
        <v>1213</v>
      </c>
      <c r="M43" s="2" t="s">
        <v>14</v>
      </c>
      <c r="O43" s="2">
        <v>11.7</v>
      </c>
      <c r="P43" s="2" t="s">
        <v>1279</v>
      </c>
      <c r="Q43" s="2" t="s">
        <v>1280</v>
      </c>
      <c r="R43" s="2" t="s">
        <v>190</v>
      </c>
      <c r="S43" s="2" t="s">
        <v>191</v>
      </c>
    </row>
    <row r="44" spans="1:19" x14ac:dyDescent="0.2">
      <c r="A44" s="2" t="s">
        <v>320</v>
      </c>
      <c r="B44" s="2">
        <v>14</v>
      </c>
      <c r="C44" s="2">
        <v>60.49044</v>
      </c>
      <c r="D44" s="2">
        <v>-152.76268999999999</v>
      </c>
      <c r="E44" s="2" t="s">
        <v>193</v>
      </c>
      <c r="F44" s="2" t="s">
        <v>95</v>
      </c>
      <c r="G44" s="2" t="s">
        <v>1108</v>
      </c>
      <c r="H44" s="2" t="s">
        <v>1335</v>
      </c>
      <c r="I44" s="2" t="s">
        <v>583</v>
      </c>
      <c r="J44" s="2" t="s">
        <v>267</v>
      </c>
      <c r="K44" s="2" t="s">
        <v>1102</v>
      </c>
      <c r="L44" s="2" t="s">
        <v>1107</v>
      </c>
      <c r="M44" s="2" t="s">
        <v>16</v>
      </c>
      <c r="N44" s="2">
        <v>50</v>
      </c>
      <c r="O44" s="2">
        <v>3.7</v>
      </c>
      <c r="P44" s="2" t="s">
        <v>1281</v>
      </c>
      <c r="Q44" s="2" t="s">
        <v>1282</v>
      </c>
      <c r="R44" s="2" t="s">
        <v>197</v>
      </c>
      <c r="S44" s="2" t="s">
        <v>122</v>
      </c>
    </row>
    <row r="45" spans="1:19" x14ac:dyDescent="0.2">
      <c r="A45" s="2" t="s">
        <v>320</v>
      </c>
      <c r="B45" s="2">
        <v>16</v>
      </c>
      <c r="C45" s="2">
        <v>60.49044</v>
      </c>
      <c r="D45" s="2">
        <v>-152.76268999999999</v>
      </c>
      <c r="E45" s="2" t="s">
        <v>194</v>
      </c>
      <c r="F45" s="2" t="s">
        <v>95</v>
      </c>
      <c r="G45" s="2" t="s">
        <v>1108</v>
      </c>
      <c r="H45" s="2" t="s">
        <v>1335</v>
      </c>
      <c r="I45" s="2" t="s">
        <v>583</v>
      </c>
      <c r="J45" s="2" t="s">
        <v>267</v>
      </c>
      <c r="K45" s="2" t="s">
        <v>1102</v>
      </c>
      <c r="L45" s="2" t="s">
        <v>1107</v>
      </c>
      <c r="M45" s="2" t="s">
        <v>16</v>
      </c>
      <c r="N45" s="2">
        <v>50</v>
      </c>
      <c r="O45" s="2">
        <v>3.7</v>
      </c>
      <c r="P45" s="2" t="s">
        <v>1283</v>
      </c>
      <c r="Q45" s="2" t="s">
        <v>1284</v>
      </c>
      <c r="R45" s="2" t="s">
        <v>197</v>
      </c>
      <c r="S45" s="2" t="s">
        <v>122</v>
      </c>
    </row>
    <row r="46" spans="1:19" x14ac:dyDescent="0.2">
      <c r="A46" s="2" t="s">
        <v>320</v>
      </c>
      <c r="B46" s="2">
        <v>15</v>
      </c>
      <c r="C46" s="2">
        <v>60.49044</v>
      </c>
      <c r="D46" s="2">
        <v>-152.76268999999999</v>
      </c>
      <c r="E46" s="2" t="s">
        <v>199</v>
      </c>
      <c r="F46" s="2" t="s">
        <v>95</v>
      </c>
      <c r="G46" s="2" t="s">
        <v>1108</v>
      </c>
      <c r="H46" s="2" t="s">
        <v>1335</v>
      </c>
      <c r="I46" s="2" t="s">
        <v>583</v>
      </c>
      <c r="J46" s="2" t="s">
        <v>267</v>
      </c>
      <c r="K46" s="2" t="s">
        <v>1102</v>
      </c>
      <c r="L46" s="2" t="s">
        <v>1107</v>
      </c>
      <c r="M46" s="2" t="s">
        <v>16</v>
      </c>
      <c r="N46" s="2">
        <v>50</v>
      </c>
      <c r="O46" s="2">
        <v>3.7</v>
      </c>
      <c r="P46" s="2" t="s">
        <v>1285</v>
      </c>
      <c r="Q46" s="2" t="s">
        <v>1286</v>
      </c>
      <c r="R46" s="2" t="s">
        <v>197</v>
      </c>
      <c r="S46" s="2" t="s">
        <v>122</v>
      </c>
    </row>
    <row r="47" spans="1:19" x14ac:dyDescent="0.2">
      <c r="A47" s="2" t="s">
        <v>320</v>
      </c>
      <c r="B47" s="2">
        <v>63</v>
      </c>
      <c r="C47" s="2">
        <v>60.49044</v>
      </c>
      <c r="D47" s="2">
        <v>-152.76268999999999</v>
      </c>
      <c r="E47" s="2" t="s">
        <v>201</v>
      </c>
      <c r="F47" s="2" t="s">
        <v>95</v>
      </c>
      <c r="G47" s="2" t="s">
        <v>1108</v>
      </c>
      <c r="H47" s="2" t="s">
        <v>1335</v>
      </c>
      <c r="I47" s="2" t="s">
        <v>583</v>
      </c>
      <c r="J47" s="2" t="s">
        <v>267</v>
      </c>
      <c r="K47" s="2" t="s">
        <v>1102</v>
      </c>
      <c r="L47" s="2" t="s">
        <v>1107</v>
      </c>
      <c r="M47" s="2" t="s">
        <v>16</v>
      </c>
      <c r="N47" s="2">
        <v>50</v>
      </c>
      <c r="O47" s="2">
        <v>3.7</v>
      </c>
      <c r="P47" s="2" t="s">
        <v>1287</v>
      </c>
      <c r="Q47" s="2" t="s">
        <v>1288</v>
      </c>
      <c r="R47" s="2" t="s">
        <v>197</v>
      </c>
      <c r="S47" s="2" t="s">
        <v>122</v>
      </c>
    </row>
    <row r="48" spans="1:19" x14ac:dyDescent="0.2">
      <c r="A48" s="2" t="s">
        <v>320</v>
      </c>
      <c r="B48" s="2">
        <v>64</v>
      </c>
      <c r="C48" s="2">
        <v>60.49044</v>
      </c>
      <c r="D48" s="2">
        <v>-152.76268999999999</v>
      </c>
      <c r="E48" s="2" t="s">
        <v>203</v>
      </c>
      <c r="F48" s="2" t="s">
        <v>95</v>
      </c>
      <c r="G48" s="2" t="s">
        <v>1108</v>
      </c>
      <c r="H48" s="2" t="s">
        <v>1335</v>
      </c>
      <c r="I48" s="2" t="s">
        <v>583</v>
      </c>
      <c r="J48" s="2" t="s">
        <v>267</v>
      </c>
      <c r="K48" s="2" t="s">
        <v>1102</v>
      </c>
      <c r="L48" s="2" t="s">
        <v>1107</v>
      </c>
      <c r="M48" s="2" t="s">
        <v>16</v>
      </c>
      <c r="N48" s="2">
        <v>50</v>
      </c>
      <c r="O48" s="2">
        <v>3.7</v>
      </c>
      <c r="P48" s="2" t="s">
        <v>1289</v>
      </c>
      <c r="Q48" s="2" t="s">
        <v>1290</v>
      </c>
      <c r="R48" s="2" t="s">
        <v>197</v>
      </c>
      <c r="S48" s="2" t="s">
        <v>122</v>
      </c>
    </row>
    <row r="49" spans="1:19" x14ac:dyDescent="0.2">
      <c r="A49" s="2" t="s">
        <v>267</v>
      </c>
      <c r="B49" s="2">
        <v>162</v>
      </c>
      <c r="C49" s="2">
        <v>54.756599999999999</v>
      </c>
      <c r="D49" s="2">
        <v>-163.97059999999999</v>
      </c>
      <c r="E49" s="2" t="s">
        <v>205</v>
      </c>
      <c r="F49" s="2" t="s">
        <v>95</v>
      </c>
      <c r="H49" s="2" t="s">
        <v>1335</v>
      </c>
      <c r="I49" s="2" t="s">
        <v>205</v>
      </c>
      <c r="J49" s="2" t="s">
        <v>267</v>
      </c>
      <c r="K49" s="2" t="s">
        <v>1102</v>
      </c>
      <c r="L49" s="2" t="s">
        <v>1110</v>
      </c>
      <c r="M49" s="2" t="s">
        <v>16</v>
      </c>
      <c r="N49" s="2">
        <v>50</v>
      </c>
      <c r="O49" s="2">
        <v>5.4</v>
      </c>
      <c r="P49" s="2" t="s">
        <v>1295</v>
      </c>
      <c r="Q49" s="2" t="s">
        <v>1296</v>
      </c>
      <c r="R49" s="2" t="s">
        <v>207</v>
      </c>
      <c r="S49" s="2" t="s">
        <v>122</v>
      </c>
    </row>
    <row r="50" spans="1:19" x14ac:dyDescent="0.2">
      <c r="A50" s="2" t="s">
        <v>320</v>
      </c>
      <c r="B50" s="2">
        <v>17</v>
      </c>
      <c r="C50" s="2">
        <v>46.059699999999999</v>
      </c>
      <c r="D50" s="2">
        <v>-122.26033</v>
      </c>
      <c r="E50" s="2" t="s">
        <v>208</v>
      </c>
      <c r="F50" s="19" t="s">
        <v>1336</v>
      </c>
      <c r="G50" s="19" t="s">
        <v>1096</v>
      </c>
      <c r="H50" s="2" t="s">
        <v>1335</v>
      </c>
      <c r="I50" s="2" t="s">
        <v>1331</v>
      </c>
      <c r="J50" s="2" t="s">
        <v>267</v>
      </c>
      <c r="K50" s="2" t="s">
        <v>104</v>
      </c>
      <c r="L50" s="2" t="s">
        <v>1214</v>
      </c>
      <c r="M50" s="2" t="s">
        <v>14</v>
      </c>
      <c r="O50" s="2">
        <v>12.8</v>
      </c>
      <c r="P50" s="2" t="s">
        <v>1297</v>
      </c>
      <c r="Q50" s="2" t="s">
        <v>1298</v>
      </c>
      <c r="R50" s="2" t="s">
        <v>210</v>
      </c>
      <c r="S50" s="2" t="s">
        <v>122</v>
      </c>
    </row>
    <row r="51" spans="1:19" x14ac:dyDescent="0.2">
      <c r="A51" s="2" t="s">
        <v>267</v>
      </c>
      <c r="B51" s="2">
        <v>267</v>
      </c>
      <c r="C51" s="2">
        <v>-43.359900000000003</v>
      </c>
      <c r="D51" s="2">
        <v>-72.431250000000006</v>
      </c>
      <c r="E51" s="2" t="s">
        <v>956</v>
      </c>
      <c r="F51" s="19" t="s">
        <v>1336</v>
      </c>
      <c r="G51" s="19" t="s">
        <v>1096</v>
      </c>
      <c r="H51" s="2" t="s">
        <v>1337</v>
      </c>
      <c r="I51" s="2" t="s">
        <v>1332</v>
      </c>
      <c r="J51" s="2" t="s">
        <v>267</v>
      </c>
      <c r="K51" s="2" t="s">
        <v>1216</v>
      </c>
      <c r="L51" s="2" t="s">
        <v>1215</v>
      </c>
      <c r="M51" s="2" t="s">
        <v>13</v>
      </c>
      <c r="O51" s="2">
        <v>50.9</v>
      </c>
      <c r="P51" s="2" t="s">
        <v>1301</v>
      </c>
      <c r="Q51" s="2" t="s">
        <v>1302</v>
      </c>
      <c r="R51" s="2" t="s">
        <v>958</v>
      </c>
      <c r="S51" s="2" t="s">
        <v>134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A2B23-C6A6-A44B-8EFF-33E2AE83F786}">
  <sheetPr>
    <tabColor theme="9"/>
  </sheetPr>
  <dimension ref="A1:W53"/>
  <sheetViews>
    <sheetView topLeftCell="A33" workbookViewId="0">
      <selection activeCell="A29" sqref="A29:XFD29"/>
    </sheetView>
  </sheetViews>
  <sheetFormatPr baseColWidth="10" defaultRowHeight="31" customHeight="1" x14ac:dyDescent="0.2"/>
  <cols>
    <col min="2" max="3" width="18.6640625" bestFit="1" customWidth="1"/>
    <col min="4" max="4" width="40" customWidth="1"/>
    <col min="5" max="5" width="8" bestFit="1" customWidth="1"/>
    <col min="6" max="6" width="14.6640625" bestFit="1" customWidth="1"/>
    <col min="7" max="7" width="16.5" customWidth="1"/>
    <col min="8" max="9" width="10.83203125" customWidth="1"/>
    <col min="15" max="15" width="10.83203125" customWidth="1"/>
    <col min="17" max="18" width="18.6640625" bestFit="1" customWidth="1"/>
    <col min="19" max="19" width="28.1640625" customWidth="1"/>
    <col min="21" max="21" width="40.6640625" style="32" customWidth="1"/>
  </cols>
  <sheetData>
    <row r="1" spans="1:23" ht="31" customHeight="1" x14ac:dyDescent="0.2">
      <c r="A1" s="1" t="s">
        <v>1359</v>
      </c>
      <c r="B1" s="1" t="s">
        <v>1361</v>
      </c>
      <c r="C1" s="1" t="s">
        <v>1362</v>
      </c>
      <c r="D1" s="1" t="s">
        <v>1358</v>
      </c>
      <c r="E1" s="34" t="s">
        <v>1080</v>
      </c>
      <c r="F1" s="34" t="s">
        <v>1340</v>
      </c>
      <c r="G1" s="34" t="s">
        <v>1313</v>
      </c>
      <c r="H1" s="34" t="s">
        <v>241</v>
      </c>
      <c r="I1" s="34" t="s">
        <v>239</v>
      </c>
      <c r="J1" s="34" t="s">
        <v>1088</v>
      </c>
      <c r="K1" s="34" t="s">
        <v>1081</v>
      </c>
      <c r="L1" s="34" t="s">
        <v>1082</v>
      </c>
      <c r="M1" s="34" t="s">
        <v>1341</v>
      </c>
      <c r="N1" s="34" t="s">
        <v>27</v>
      </c>
      <c r="O1" s="34" t="s">
        <v>1113</v>
      </c>
      <c r="P1" s="34" t="s">
        <v>1377</v>
      </c>
      <c r="Q1" s="34" t="s">
        <v>1373</v>
      </c>
      <c r="R1" s="34" t="s">
        <v>1347</v>
      </c>
      <c r="S1" s="34" t="s">
        <v>1114</v>
      </c>
      <c r="T1" s="1" t="s">
        <v>107</v>
      </c>
      <c r="U1" s="16" t="s">
        <v>108</v>
      </c>
    </row>
    <row r="2" spans="1:23" ht="31" customHeight="1" x14ac:dyDescent="0.2">
      <c r="A2" s="2">
        <v>302</v>
      </c>
      <c r="B2" s="2" t="s">
        <v>1219</v>
      </c>
      <c r="C2" s="2" t="s">
        <v>1220</v>
      </c>
      <c r="D2" s="2" t="s">
        <v>123</v>
      </c>
      <c r="E2" s="13">
        <v>1</v>
      </c>
      <c r="F2" s="2" t="s">
        <v>1338</v>
      </c>
      <c r="G2" s="2" t="s">
        <v>1314</v>
      </c>
      <c r="H2" s="2">
        <v>13.898199999999999</v>
      </c>
      <c r="I2" s="2">
        <v>40.731900000000003</v>
      </c>
      <c r="J2" s="2" t="s">
        <v>267</v>
      </c>
      <c r="K2" s="2" t="s">
        <v>1087</v>
      </c>
      <c r="L2" s="2" t="s">
        <v>1086</v>
      </c>
      <c r="M2" s="26" t="s">
        <v>1345</v>
      </c>
      <c r="N2" s="2" t="s">
        <v>14</v>
      </c>
      <c r="O2" s="2">
        <v>100</v>
      </c>
      <c r="P2" s="2">
        <v>1.3</v>
      </c>
      <c r="Q2" s="2" t="s">
        <v>1219</v>
      </c>
      <c r="R2" s="2" t="s">
        <v>1220</v>
      </c>
      <c r="S2" s="2" t="s">
        <v>1115</v>
      </c>
      <c r="T2" s="2" t="s">
        <v>95</v>
      </c>
      <c r="U2" s="27"/>
      <c r="W2">
        <f>P2*1000</f>
        <v>1300</v>
      </c>
    </row>
    <row r="3" spans="1:23" ht="31" customHeight="1" x14ac:dyDescent="0.2">
      <c r="A3" s="2">
        <v>143</v>
      </c>
      <c r="B3" s="2" t="s">
        <v>1196</v>
      </c>
      <c r="C3" s="2" t="s">
        <v>1197</v>
      </c>
      <c r="D3" s="2" t="s">
        <v>125</v>
      </c>
      <c r="E3" s="2">
        <v>2</v>
      </c>
      <c r="F3" s="2" t="s">
        <v>1335</v>
      </c>
      <c r="G3" s="2" t="s">
        <v>1319</v>
      </c>
      <c r="H3" s="2">
        <v>-106.18702999999999</v>
      </c>
      <c r="I3" s="2">
        <v>38.733310000000003</v>
      </c>
      <c r="J3" s="13" t="s">
        <v>1089</v>
      </c>
      <c r="K3" s="13" t="s">
        <v>1090</v>
      </c>
      <c r="L3" s="13" t="s">
        <v>1091</v>
      </c>
      <c r="M3" s="26" t="s">
        <v>1345</v>
      </c>
      <c r="N3" s="13" t="s">
        <v>1092</v>
      </c>
      <c r="O3" s="13">
        <v>333.3</v>
      </c>
      <c r="P3" s="13">
        <v>0.1</v>
      </c>
      <c r="Q3" s="2" t="s">
        <v>1196</v>
      </c>
      <c r="R3" s="2" t="s">
        <v>1197</v>
      </c>
      <c r="S3" s="2" t="s">
        <v>1115</v>
      </c>
      <c r="T3" s="17" t="s">
        <v>96</v>
      </c>
      <c r="U3" s="28" t="s">
        <v>126</v>
      </c>
      <c r="W3">
        <f t="shared" ref="W3:W39" si="0">P3*1000</f>
        <v>100</v>
      </c>
    </row>
    <row r="4" spans="1:23" ht="31" customHeight="1" x14ac:dyDescent="0.2">
      <c r="A4" s="2">
        <v>144</v>
      </c>
      <c r="B4" s="2" t="s">
        <v>1194</v>
      </c>
      <c r="C4" s="2" t="s">
        <v>1195</v>
      </c>
      <c r="D4" s="2" t="s">
        <v>129</v>
      </c>
      <c r="E4" s="2">
        <v>3</v>
      </c>
      <c r="F4" s="2" t="s">
        <v>1335</v>
      </c>
      <c r="G4" s="2" t="s">
        <v>1319</v>
      </c>
      <c r="H4" s="2">
        <v>-106.18702999999999</v>
      </c>
      <c r="I4" s="2">
        <v>38.733310000000003</v>
      </c>
      <c r="J4" s="13" t="s">
        <v>1089</v>
      </c>
      <c r="K4" s="13" t="s">
        <v>1090</v>
      </c>
      <c r="L4" s="13" t="s">
        <v>1091</v>
      </c>
      <c r="M4" s="26" t="s">
        <v>1345</v>
      </c>
      <c r="N4" s="13" t="s">
        <v>1092</v>
      </c>
      <c r="O4" s="13">
        <v>333.3</v>
      </c>
      <c r="P4" s="13">
        <v>0.1</v>
      </c>
      <c r="Q4" s="2" t="s">
        <v>1194</v>
      </c>
      <c r="R4" s="2" t="s">
        <v>1195</v>
      </c>
      <c r="S4" s="2" t="s">
        <v>1115</v>
      </c>
      <c r="T4" s="17" t="s">
        <v>96</v>
      </c>
      <c r="U4" s="28" t="s">
        <v>126</v>
      </c>
      <c r="W4">
        <f t="shared" si="0"/>
        <v>100</v>
      </c>
    </row>
    <row r="5" spans="1:23" ht="31" customHeight="1" x14ac:dyDescent="0.2">
      <c r="A5" s="2">
        <v>287</v>
      </c>
      <c r="B5" s="2" t="s">
        <v>1221</v>
      </c>
      <c r="C5" s="2" t="s">
        <v>1222</v>
      </c>
      <c r="D5" s="2" t="s">
        <v>131</v>
      </c>
      <c r="E5" s="13">
        <v>4</v>
      </c>
      <c r="F5" s="2" t="s">
        <v>1335</v>
      </c>
      <c r="G5" s="2" t="s">
        <v>1320</v>
      </c>
      <c r="H5" s="2">
        <v>-105.6835</v>
      </c>
      <c r="I5" s="2">
        <v>40.302</v>
      </c>
      <c r="J5" s="2" t="s">
        <v>267</v>
      </c>
      <c r="K5" s="2" t="s">
        <v>1095</v>
      </c>
      <c r="L5" s="2" t="s">
        <v>1094</v>
      </c>
      <c r="M5" s="26" t="s">
        <v>1343</v>
      </c>
      <c r="N5" s="2" t="s">
        <v>13</v>
      </c>
      <c r="O5" s="13">
        <v>100</v>
      </c>
      <c r="P5" s="2">
        <v>30.7</v>
      </c>
      <c r="Q5" s="2" t="s">
        <v>1221</v>
      </c>
      <c r="R5" s="2" t="s">
        <v>1222</v>
      </c>
      <c r="S5" s="2" t="s">
        <v>1115</v>
      </c>
      <c r="T5" s="19" t="s">
        <v>1336</v>
      </c>
      <c r="U5" s="29" t="s">
        <v>1096</v>
      </c>
      <c r="W5">
        <f t="shared" si="0"/>
        <v>30700</v>
      </c>
    </row>
    <row r="6" spans="1:23" ht="31" customHeight="1" x14ac:dyDescent="0.2">
      <c r="A6" s="2">
        <v>157</v>
      </c>
      <c r="B6" s="2" t="s">
        <v>1233</v>
      </c>
      <c r="C6" s="2" t="s">
        <v>1234</v>
      </c>
      <c r="D6" s="2" t="s">
        <v>49</v>
      </c>
      <c r="E6" s="13">
        <v>5</v>
      </c>
      <c r="F6" s="2" t="s">
        <v>1335</v>
      </c>
      <c r="G6" s="2" t="s">
        <v>49</v>
      </c>
      <c r="H6" s="2">
        <v>-119.6259</v>
      </c>
      <c r="I6" s="2">
        <v>34.450499999999998</v>
      </c>
      <c r="J6" s="13" t="s">
        <v>516</v>
      </c>
      <c r="K6" s="13" t="s">
        <v>4</v>
      </c>
      <c r="L6" s="13" t="s">
        <v>5</v>
      </c>
      <c r="M6" s="26" t="s">
        <v>1345</v>
      </c>
      <c r="N6" s="13" t="s">
        <v>1202</v>
      </c>
      <c r="O6" s="13">
        <v>100</v>
      </c>
      <c r="P6" s="13">
        <v>0.2</v>
      </c>
      <c r="Q6" s="2" t="s">
        <v>1233</v>
      </c>
      <c r="R6" s="2" t="s">
        <v>1234</v>
      </c>
      <c r="S6" s="2" t="s">
        <v>1115</v>
      </c>
      <c r="T6" s="24" t="s">
        <v>95</v>
      </c>
      <c r="U6" s="30"/>
      <c r="W6">
        <f t="shared" si="0"/>
        <v>200</v>
      </c>
    </row>
    <row r="7" spans="1:23" ht="31" customHeight="1" x14ac:dyDescent="0.2">
      <c r="A7" s="2">
        <v>108</v>
      </c>
      <c r="B7" s="2" t="s">
        <v>1239</v>
      </c>
      <c r="C7" s="2" t="s">
        <v>1240</v>
      </c>
      <c r="D7" s="2" t="s">
        <v>160</v>
      </c>
      <c r="E7" s="2">
        <v>6</v>
      </c>
      <c r="F7" s="2" t="s">
        <v>1335</v>
      </c>
      <c r="G7" s="2" t="s">
        <v>1323</v>
      </c>
      <c r="H7" s="2">
        <v>-121.49862</v>
      </c>
      <c r="I7" s="2">
        <v>46.201749999999997</v>
      </c>
      <c r="J7" s="2" t="s">
        <v>267</v>
      </c>
      <c r="K7" s="13" t="s">
        <v>104</v>
      </c>
      <c r="L7" s="2" t="s">
        <v>1210</v>
      </c>
      <c r="M7" s="26" t="s">
        <v>1345</v>
      </c>
      <c r="N7" s="2" t="s">
        <v>14</v>
      </c>
      <c r="O7" s="13">
        <v>100</v>
      </c>
      <c r="P7" s="2">
        <v>31.8</v>
      </c>
      <c r="Q7" s="2" t="s">
        <v>1239</v>
      </c>
      <c r="R7" s="2" t="s">
        <v>1240</v>
      </c>
      <c r="S7" s="2" t="s">
        <v>138</v>
      </c>
      <c r="T7" s="19" t="s">
        <v>1336</v>
      </c>
      <c r="U7" s="31" t="s">
        <v>1096</v>
      </c>
      <c r="W7">
        <f t="shared" si="0"/>
        <v>31800</v>
      </c>
    </row>
    <row r="8" spans="1:23" ht="31" customHeight="1" x14ac:dyDescent="0.2">
      <c r="A8" s="2">
        <v>53</v>
      </c>
      <c r="B8" s="2" t="s">
        <v>1241</v>
      </c>
      <c r="C8" s="2" t="s">
        <v>1242</v>
      </c>
      <c r="D8" s="2" t="s">
        <v>103</v>
      </c>
      <c r="E8" s="2">
        <v>7</v>
      </c>
      <c r="F8" s="2" t="s">
        <v>1335</v>
      </c>
      <c r="G8" s="2" t="s">
        <v>1324</v>
      </c>
      <c r="H8" s="2">
        <v>-121.86256</v>
      </c>
      <c r="I8" s="2">
        <v>48.746679999999998</v>
      </c>
      <c r="J8" s="2" t="s">
        <v>267</v>
      </c>
      <c r="K8" s="13" t="s">
        <v>104</v>
      </c>
      <c r="L8" s="2" t="s">
        <v>105</v>
      </c>
      <c r="M8" s="26" t="s">
        <v>1345</v>
      </c>
      <c r="N8" s="2" t="s">
        <v>14</v>
      </c>
      <c r="O8" s="13">
        <v>100</v>
      </c>
      <c r="P8" s="2">
        <v>5</v>
      </c>
      <c r="Q8" s="2" t="s">
        <v>1241</v>
      </c>
      <c r="R8" s="2" t="s">
        <v>1242</v>
      </c>
      <c r="S8" s="2" t="s">
        <v>1399</v>
      </c>
      <c r="T8" s="2" t="s">
        <v>95</v>
      </c>
      <c r="U8" s="27"/>
      <c r="W8">
        <f t="shared" si="0"/>
        <v>5000</v>
      </c>
    </row>
    <row r="9" spans="1:23" ht="31" customHeight="1" x14ac:dyDescent="0.2">
      <c r="A9" s="2">
        <v>37</v>
      </c>
      <c r="B9" s="2" t="s">
        <v>1303</v>
      </c>
      <c r="C9" s="2" t="s">
        <v>1304</v>
      </c>
      <c r="D9" s="2" t="s">
        <v>213</v>
      </c>
      <c r="E9" s="13">
        <v>8</v>
      </c>
      <c r="F9" s="2" t="s">
        <v>1335</v>
      </c>
      <c r="G9" s="2" t="s">
        <v>1333</v>
      </c>
      <c r="H9" s="2">
        <v>-121.6999</v>
      </c>
      <c r="I9" s="2">
        <v>45.346299999999999</v>
      </c>
      <c r="J9" s="2" t="s">
        <v>267</v>
      </c>
      <c r="K9" s="13" t="s">
        <v>6</v>
      </c>
      <c r="L9" s="2" t="s">
        <v>1111</v>
      </c>
      <c r="M9" s="26" t="s">
        <v>1345</v>
      </c>
      <c r="N9" s="2" t="s">
        <v>14</v>
      </c>
      <c r="O9" s="13">
        <v>50</v>
      </c>
      <c r="P9" s="2">
        <v>1.4</v>
      </c>
      <c r="Q9" s="2" t="s">
        <v>1303</v>
      </c>
      <c r="R9" s="2" t="s">
        <v>1304</v>
      </c>
      <c r="S9" s="2" t="s">
        <v>1115</v>
      </c>
      <c r="T9" s="2" t="s">
        <v>95</v>
      </c>
      <c r="U9" s="27"/>
      <c r="W9">
        <f t="shared" si="0"/>
        <v>1400</v>
      </c>
    </row>
    <row r="10" spans="1:23" ht="31" customHeight="1" x14ac:dyDescent="0.2">
      <c r="A10" s="2">
        <v>39</v>
      </c>
      <c r="B10" s="2" t="s">
        <v>1305</v>
      </c>
      <c r="C10" s="2" t="s">
        <v>1306</v>
      </c>
      <c r="D10" s="2" t="s">
        <v>213</v>
      </c>
      <c r="E10" s="13">
        <v>9</v>
      </c>
      <c r="F10" s="2" t="s">
        <v>1335</v>
      </c>
      <c r="G10" s="2" t="s">
        <v>1333</v>
      </c>
      <c r="H10" s="2">
        <v>-121.6999</v>
      </c>
      <c r="I10" s="2">
        <v>45.346299999999999</v>
      </c>
      <c r="J10" s="2" t="s">
        <v>267</v>
      </c>
      <c r="K10" s="13" t="s">
        <v>6</v>
      </c>
      <c r="L10" s="2" t="s">
        <v>1111</v>
      </c>
      <c r="M10" s="26" t="s">
        <v>1345</v>
      </c>
      <c r="N10" s="2" t="s">
        <v>14</v>
      </c>
      <c r="O10" s="13">
        <v>50</v>
      </c>
      <c r="P10" s="2">
        <v>1.4</v>
      </c>
      <c r="Q10" s="2" t="s">
        <v>1305</v>
      </c>
      <c r="R10" s="2" t="s">
        <v>1306</v>
      </c>
      <c r="S10" s="2" t="s">
        <v>1115</v>
      </c>
      <c r="T10" s="2" t="s">
        <v>95</v>
      </c>
      <c r="U10" s="27"/>
      <c r="W10">
        <f t="shared" si="0"/>
        <v>1400</v>
      </c>
    </row>
    <row r="11" spans="1:23" ht="31" customHeight="1" x14ac:dyDescent="0.2">
      <c r="A11" s="2">
        <v>38</v>
      </c>
      <c r="B11" s="2" t="s">
        <v>1307</v>
      </c>
      <c r="C11" s="2" t="s">
        <v>1308</v>
      </c>
      <c r="D11" s="2" t="s">
        <v>213</v>
      </c>
      <c r="E11" s="2">
        <v>10</v>
      </c>
      <c r="F11" s="2" t="s">
        <v>1335</v>
      </c>
      <c r="G11" s="2" t="s">
        <v>1333</v>
      </c>
      <c r="H11" s="2">
        <v>-121.6999</v>
      </c>
      <c r="I11" s="2">
        <v>45.346299999999999</v>
      </c>
      <c r="J11" s="2" t="s">
        <v>267</v>
      </c>
      <c r="K11" s="13" t="s">
        <v>6</v>
      </c>
      <c r="L11" s="2" t="s">
        <v>1111</v>
      </c>
      <c r="M11" s="26" t="s">
        <v>1345</v>
      </c>
      <c r="N11" s="2" t="s">
        <v>14</v>
      </c>
      <c r="O11" s="13">
        <v>50</v>
      </c>
      <c r="P11" s="2">
        <v>1.4</v>
      </c>
      <c r="Q11" s="2" t="s">
        <v>1307</v>
      </c>
      <c r="R11" s="2" t="s">
        <v>1308</v>
      </c>
      <c r="S11" s="2" t="s">
        <v>1115</v>
      </c>
      <c r="T11" s="2" t="s">
        <v>95</v>
      </c>
      <c r="U11" s="27"/>
      <c r="W11">
        <f t="shared" si="0"/>
        <v>1400</v>
      </c>
    </row>
    <row r="12" spans="1:23" ht="31" customHeight="1" x14ac:dyDescent="0.2">
      <c r="A12" s="2">
        <v>147</v>
      </c>
      <c r="B12" s="2" t="s">
        <v>1243</v>
      </c>
      <c r="C12" s="2" t="s">
        <v>1244</v>
      </c>
      <c r="D12" s="2" t="s">
        <v>296</v>
      </c>
      <c r="E12" s="2">
        <v>11</v>
      </c>
      <c r="F12" s="2" t="s">
        <v>1335</v>
      </c>
      <c r="G12" s="2" t="s">
        <v>1325</v>
      </c>
      <c r="H12" s="2">
        <v>-122.4511</v>
      </c>
      <c r="I12" s="2">
        <v>50.344799999999999</v>
      </c>
      <c r="J12" s="2" t="s">
        <v>267</v>
      </c>
      <c r="K12" s="2" t="s">
        <v>1207</v>
      </c>
      <c r="L12" s="2" t="s">
        <v>1212</v>
      </c>
      <c r="M12" s="26" t="s">
        <v>1345</v>
      </c>
      <c r="N12" s="2" t="s">
        <v>13</v>
      </c>
      <c r="O12" s="13">
        <v>50</v>
      </c>
      <c r="P12" s="2">
        <v>41.4</v>
      </c>
      <c r="Q12" s="2" t="s">
        <v>1243</v>
      </c>
      <c r="R12" s="2" t="s">
        <v>1244</v>
      </c>
      <c r="S12" s="2" t="s">
        <v>1400</v>
      </c>
      <c r="T12" s="19" t="s">
        <v>1336</v>
      </c>
      <c r="U12" s="29" t="s">
        <v>1096</v>
      </c>
      <c r="W12">
        <f t="shared" si="0"/>
        <v>41400</v>
      </c>
    </row>
    <row r="13" spans="1:23" ht="31" customHeight="1" x14ac:dyDescent="0.2">
      <c r="A13" s="2">
        <v>148</v>
      </c>
      <c r="B13" s="2" t="s">
        <v>1245</v>
      </c>
      <c r="C13" s="2" t="s">
        <v>1246</v>
      </c>
      <c r="D13" s="2" t="s">
        <v>818</v>
      </c>
      <c r="E13" s="13">
        <v>12</v>
      </c>
      <c r="F13" s="2" t="s">
        <v>1335</v>
      </c>
      <c r="G13" s="2" t="s">
        <v>1325</v>
      </c>
      <c r="H13" s="2">
        <v>-122.44880000000001</v>
      </c>
      <c r="I13" s="2">
        <v>50.3431</v>
      </c>
      <c r="J13" s="2" t="s">
        <v>267</v>
      </c>
      <c r="K13" s="2" t="s">
        <v>1207</v>
      </c>
      <c r="L13" s="2" t="s">
        <v>1212</v>
      </c>
      <c r="M13" s="26" t="s">
        <v>1345</v>
      </c>
      <c r="N13" s="2" t="s">
        <v>13</v>
      </c>
      <c r="O13" s="13">
        <v>50</v>
      </c>
      <c r="P13" s="2">
        <v>41.4</v>
      </c>
      <c r="Q13" s="2" t="s">
        <v>1245</v>
      </c>
      <c r="R13" s="2" t="s">
        <v>1246</v>
      </c>
      <c r="S13" s="2" t="s">
        <v>1400</v>
      </c>
      <c r="T13" s="19" t="s">
        <v>1336</v>
      </c>
      <c r="U13" s="29" t="s">
        <v>1096</v>
      </c>
      <c r="W13">
        <f t="shared" si="0"/>
        <v>41400</v>
      </c>
    </row>
    <row r="14" spans="1:23" ht="31" customHeight="1" x14ac:dyDescent="0.2">
      <c r="A14" s="2">
        <v>32</v>
      </c>
      <c r="B14" s="2" t="s">
        <v>1251</v>
      </c>
      <c r="C14" s="2" t="s">
        <v>1252</v>
      </c>
      <c r="D14" s="2" t="s">
        <v>164</v>
      </c>
      <c r="E14" s="13">
        <v>13</v>
      </c>
      <c r="F14" s="2" t="s">
        <v>1335</v>
      </c>
      <c r="G14" s="2" t="s">
        <v>1327</v>
      </c>
      <c r="H14" s="2">
        <v>-121.81323</v>
      </c>
      <c r="I14" s="2">
        <v>46.819339999999997</v>
      </c>
      <c r="J14" s="2" t="s">
        <v>267</v>
      </c>
      <c r="K14" s="2" t="s">
        <v>104</v>
      </c>
      <c r="L14" s="2" t="s">
        <v>1100</v>
      </c>
      <c r="M14" s="26" t="s">
        <v>1345</v>
      </c>
      <c r="N14" s="2" t="s">
        <v>14</v>
      </c>
      <c r="O14" s="13">
        <v>100</v>
      </c>
      <c r="P14" s="2">
        <v>2.5</v>
      </c>
      <c r="Q14" s="2" t="s">
        <v>1251</v>
      </c>
      <c r="R14" s="2" t="s">
        <v>1252</v>
      </c>
      <c r="S14" s="2" t="s">
        <v>1402</v>
      </c>
      <c r="T14" s="2" t="s">
        <v>95</v>
      </c>
      <c r="U14" s="27"/>
      <c r="W14">
        <f t="shared" si="0"/>
        <v>2500</v>
      </c>
    </row>
    <row r="15" spans="1:23" ht="31" customHeight="1" x14ac:dyDescent="0.2">
      <c r="A15" s="2">
        <v>178</v>
      </c>
      <c r="B15" s="2" t="s">
        <v>1299</v>
      </c>
      <c r="C15" s="2" t="s">
        <v>1300</v>
      </c>
      <c r="D15" s="2" t="s">
        <v>211</v>
      </c>
      <c r="E15" s="2">
        <v>14</v>
      </c>
      <c r="F15" s="2" t="s">
        <v>1335</v>
      </c>
      <c r="G15" s="2" t="s">
        <v>1327</v>
      </c>
      <c r="H15" s="2">
        <v>-121.81</v>
      </c>
      <c r="I15" s="2">
        <v>46.819099999999999</v>
      </c>
      <c r="J15" s="2" t="s">
        <v>267</v>
      </c>
      <c r="K15" s="2" t="s">
        <v>104</v>
      </c>
      <c r="L15" s="2" t="s">
        <v>1100</v>
      </c>
      <c r="M15" s="26" t="s">
        <v>1345</v>
      </c>
      <c r="N15" s="2" t="s">
        <v>14</v>
      </c>
      <c r="O15" s="13">
        <v>100</v>
      </c>
      <c r="P15" s="2">
        <v>2.5</v>
      </c>
      <c r="Q15" s="2" t="s">
        <v>1299</v>
      </c>
      <c r="R15" s="2" t="s">
        <v>1300</v>
      </c>
      <c r="S15" s="2" t="s">
        <v>1402</v>
      </c>
      <c r="T15" s="2" t="s">
        <v>95</v>
      </c>
      <c r="U15" s="27"/>
      <c r="W15">
        <f t="shared" si="0"/>
        <v>2500</v>
      </c>
    </row>
    <row r="16" spans="1:23" ht="31" customHeight="1" x14ac:dyDescent="0.2">
      <c r="A16" s="2">
        <v>175</v>
      </c>
      <c r="B16" s="2" t="s">
        <v>1249</v>
      </c>
      <c r="C16" s="2" t="s">
        <v>1250</v>
      </c>
      <c r="D16" s="2" t="s">
        <v>164</v>
      </c>
      <c r="E16" s="2">
        <v>15</v>
      </c>
      <c r="F16" s="2" t="s">
        <v>1335</v>
      </c>
      <c r="G16" s="2" t="s">
        <v>1327</v>
      </c>
      <c r="H16" s="2">
        <v>-121.81</v>
      </c>
      <c r="I16" s="2">
        <v>46.819099999999999</v>
      </c>
      <c r="J16" s="2" t="s">
        <v>267</v>
      </c>
      <c r="K16" s="2" t="s">
        <v>104</v>
      </c>
      <c r="L16" s="2" t="s">
        <v>1100</v>
      </c>
      <c r="M16" s="26" t="s">
        <v>1345</v>
      </c>
      <c r="N16" s="2" t="s">
        <v>14</v>
      </c>
      <c r="O16" s="13">
        <v>100</v>
      </c>
      <c r="P16" s="2">
        <v>2.5</v>
      </c>
      <c r="Q16" s="2" t="s">
        <v>1249</v>
      </c>
      <c r="R16" s="2" t="s">
        <v>1250</v>
      </c>
      <c r="S16" s="2" t="s">
        <v>1115</v>
      </c>
      <c r="T16" s="2" t="s">
        <v>95</v>
      </c>
      <c r="U16" s="27"/>
      <c r="W16">
        <f t="shared" si="0"/>
        <v>2500</v>
      </c>
    </row>
    <row r="17" spans="1:23" ht="31" customHeight="1" x14ac:dyDescent="0.2">
      <c r="A17" s="2">
        <v>278</v>
      </c>
      <c r="B17" s="2" t="s">
        <v>1267</v>
      </c>
      <c r="C17" s="2" t="s">
        <v>1268</v>
      </c>
      <c r="D17" s="2" t="s">
        <v>179</v>
      </c>
      <c r="E17" s="13">
        <v>16</v>
      </c>
      <c r="F17" s="2" t="s">
        <v>1335</v>
      </c>
      <c r="G17" s="2" t="s">
        <v>1318</v>
      </c>
      <c r="H17" s="2">
        <v>-122.1855</v>
      </c>
      <c r="I17" s="2">
        <v>41.390700000000002</v>
      </c>
      <c r="J17" s="2" t="s">
        <v>1365</v>
      </c>
      <c r="K17" s="2" t="s">
        <v>1084</v>
      </c>
      <c r="L17" s="2" t="s">
        <v>1083</v>
      </c>
      <c r="M17" s="26" t="s">
        <v>1344</v>
      </c>
      <c r="N17" s="2" t="s">
        <v>13</v>
      </c>
      <c r="O17" s="13">
        <v>100</v>
      </c>
      <c r="P17" s="2">
        <v>5.2</v>
      </c>
      <c r="Q17" s="2" t="s">
        <v>1267</v>
      </c>
      <c r="R17" s="2" t="s">
        <v>1268</v>
      </c>
      <c r="S17" s="2" t="s">
        <v>1115</v>
      </c>
      <c r="T17" s="2" t="s">
        <v>1336</v>
      </c>
      <c r="U17" s="27"/>
      <c r="W17">
        <f t="shared" si="0"/>
        <v>5200</v>
      </c>
    </row>
    <row r="18" spans="1:23" ht="31" customHeight="1" x14ac:dyDescent="0.2">
      <c r="A18" s="2">
        <v>279</v>
      </c>
      <c r="B18" s="2" t="s">
        <v>1269</v>
      </c>
      <c r="C18" s="2" t="s">
        <v>1270</v>
      </c>
      <c r="D18" s="2" t="s">
        <v>179</v>
      </c>
      <c r="E18" s="13">
        <v>17</v>
      </c>
      <c r="F18" s="2" t="s">
        <v>1335</v>
      </c>
      <c r="G18" s="2" t="s">
        <v>1318</v>
      </c>
      <c r="H18" s="2">
        <v>-122.1883</v>
      </c>
      <c r="I18" s="2">
        <v>41.392800000000001</v>
      </c>
      <c r="J18" s="2" t="s">
        <v>1365</v>
      </c>
      <c r="K18" s="2" t="s">
        <v>1084</v>
      </c>
      <c r="L18" s="2" t="s">
        <v>1083</v>
      </c>
      <c r="M18" s="26" t="s">
        <v>1344</v>
      </c>
      <c r="N18" s="2" t="s">
        <v>13</v>
      </c>
      <c r="O18" s="13">
        <v>100</v>
      </c>
      <c r="P18" s="2">
        <v>5.2</v>
      </c>
      <c r="Q18" s="25" t="s">
        <v>1393</v>
      </c>
      <c r="R18" s="2" t="s">
        <v>1270</v>
      </c>
      <c r="S18" s="2" t="s">
        <v>1115</v>
      </c>
      <c r="T18" s="2" t="s">
        <v>1336</v>
      </c>
      <c r="U18" s="27"/>
      <c r="W18">
        <f t="shared" si="0"/>
        <v>5200</v>
      </c>
    </row>
    <row r="19" spans="1:23" ht="31" customHeight="1" x14ac:dyDescent="0.2">
      <c r="A19" s="2">
        <v>280</v>
      </c>
      <c r="B19" s="2" t="s">
        <v>1309</v>
      </c>
      <c r="C19" s="2" t="s">
        <v>1310</v>
      </c>
      <c r="D19" s="2" t="s">
        <v>217</v>
      </c>
      <c r="E19" s="2">
        <v>18</v>
      </c>
      <c r="F19" s="2" t="s">
        <v>1335</v>
      </c>
      <c r="G19" s="2" t="s">
        <v>1318</v>
      </c>
      <c r="H19" s="2">
        <v>-122.2115</v>
      </c>
      <c r="I19" s="2">
        <v>41.419699999999999</v>
      </c>
      <c r="J19" s="2" t="s">
        <v>1365</v>
      </c>
      <c r="K19" s="2" t="s">
        <v>1084</v>
      </c>
      <c r="L19" s="2" t="s">
        <v>1112</v>
      </c>
      <c r="M19" s="26" t="s">
        <v>1345</v>
      </c>
      <c r="N19" s="2" t="s">
        <v>14</v>
      </c>
      <c r="O19" s="13">
        <v>100</v>
      </c>
      <c r="P19" s="2">
        <v>8.9</v>
      </c>
      <c r="Q19" s="2" t="s">
        <v>1309</v>
      </c>
      <c r="R19" s="2" t="s">
        <v>1310</v>
      </c>
      <c r="S19" s="2" t="s">
        <v>1115</v>
      </c>
      <c r="T19" s="2" t="s">
        <v>95</v>
      </c>
      <c r="U19" s="27"/>
      <c r="W19">
        <f t="shared" si="0"/>
        <v>8900</v>
      </c>
    </row>
    <row r="20" spans="1:23" ht="31" customHeight="1" x14ac:dyDescent="0.2">
      <c r="A20" s="2">
        <v>281</v>
      </c>
      <c r="B20" s="2" t="s">
        <v>1217</v>
      </c>
      <c r="C20" s="2" t="s">
        <v>1218</v>
      </c>
      <c r="D20" s="2" t="s">
        <v>118</v>
      </c>
      <c r="E20" s="2">
        <v>19</v>
      </c>
      <c r="F20" s="2" t="s">
        <v>1335</v>
      </c>
      <c r="G20" s="2" t="s">
        <v>1318</v>
      </c>
      <c r="H20" s="2">
        <v>-122.1879</v>
      </c>
      <c r="I20" s="2">
        <v>41.409100000000002</v>
      </c>
      <c r="J20" s="2" t="s">
        <v>1365</v>
      </c>
      <c r="K20" s="2" t="s">
        <v>1084</v>
      </c>
      <c r="L20" s="2" t="s">
        <v>1112</v>
      </c>
      <c r="M20" s="26" t="s">
        <v>1345</v>
      </c>
      <c r="N20" s="2" t="s">
        <v>14</v>
      </c>
      <c r="O20" s="13">
        <v>100</v>
      </c>
      <c r="P20" s="2">
        <v>7.2</v>
      </c>
      <c r="Q20" s="2" t="s">
        <v>1217</v>
      </c>
      <c r="R20" s="2" t="s">
        <v>1218</v>
      </c>
      <c r="S20" s="2" t="s">
        <v>1115</v>
      </c>
      <c r="T20" s="2" t="s">
        <v>95</v>
      </c>
      <c r="U20" s="27"/>
      <c r="W20">
        <f t="shared" si="0"/>
        <v>7200</v>
      </c>
    </row>
    <row r="21" spans="1:23" ht="31" customHeight="1" x14ac:dyDescent="0.2">
      <c r="A21" s="2">
        <v>282</v>
      </c>
      <c r="B21" s="2" t="s">
        <v>1311</v>
      </c>
      <c r="C21" s="2" t="s">
        <v>1312</v>
      </c>
      <c r="D21" s="2" t="s">
        <v>219</v>
      </c>
      <c r="E21" s="13">
        <v>20</v>
      </c>
      <c r="F21" s="2" t="s">
        <v>1335</v>
      </c>
      <c r="G21" s="2" t="s">
        <v>1318</v>
      </c>
      <c r="H21" s="2">
        <v>-122.2059</v>
      </c>
      <c r="I21" s="2">
        <v>41.429299999999998</v>
      </c>
      <c r="J21" s="2" t="s">
        <v>1365</v>
      </c>
      <c r="K21" s="2" t="s">
        <v>1084</v>
      </c>
      <c r="L21" s="2" t="s">
        <v>1112</v>
      </c>
      <c r="M21" s="26" t="s">
        <v>1345</v>
      </c>
      <c r="N21" s="2" t="s">
        <v>14</v>
      </c>
      <c r="O21" s="13">
        <v>100</v>
      </c>
      <c r="P21" s="2">
        <v>8.9</v>
      </c>
      <c r="Q21" s="2" t="s">
        <v>1311</v>
      </c>
      <c r="R21" s="2" t="s">
        <v>1312</v>
      </c>
      <c r="S21" s="2" t="s">
        <v>1115</v>
      </c>
      <c r="T21" s="2" t="s">
        <v>95</v>
      </c>
      <c r="U21" s="27"/>
      <c r="W21">
        <f t="shared" si="0"/>
        <v>8900</v>
      </c>
    </row>
    <row r="22" spans="1:23" ht="31" customHeight="1" x14ac:dyDescent="0.2">
      <c r="A22" s="2">
        <v>3</v>
      </c>
      <c r="B22" s="2" t="s">
        <v>1271</v>
      </c>
      <c r="C22" s="2" t="s">
        <v>1272</v>
      </c>
      <c r="D22" s="2" t="s">
        <v>179</v>
      </c>
      <c r="E22" s="13">
        <v>21</v>
      </c>
      <c r="F22" s="2" t="s">
        <v>1335</v>
      </c>
      <c r="G22" s="2" t="s">
        <v>1318</v>
      </c>
      <c r="H22" s="2">
        <v>-122.19732</v>
      </c>
      <c r="I22" s="2">
        <v>41.399470000000001</v>
      </c>
      <c r="J22" s="2" t="s">
        <v>1365</v>
      </c>
      <c r="K22" s="2" t="s">
        <v>1084</v>
      </c>
      <c r="L22" s="2" t="s">
        <v>1104</v>
      </c>
      <c r="M22" s="26" t="s">
        <v>1342</v>
      </c>
      <c r="N22" s="2" t="s">
        <v>14</v>
      </c>
      <c r="O22" s="13">
        <v>100</v>
      </c>
      <c r="P22" s="2">
        <v>7.3</v>
      </c>
      <c r="Q22" s="2" t="s">
        <v>1271</v>
      </c>
      <c r="R22" s="2" t="s">
        <v>1272</v>
      </c>
      <c r="S22" s="2" t="s">
        <v>1402</v>
      </c>
      <c r="T22" s="23" t="s">
        <v>1336</v>
      </c>
      <c r="U22" s="29" t="s">
        <v>1096</v>
      </c>
      <c r="W22">
        <f t="shared" si="0"/>
        <v>7300</v>
      </c>
    </row>
    <row r="23" spans="1:23" ht="31" customHeight="1" x14ac:dyDescent="0.2">
      <c r="A23" s="2">
        <v>1</v>
      </c>
      <c r="B23" s="2" t="s">
        <v>1253</v>
      </c>
      <c r="C23" s="2" t="s">
        <v>1254</v>
      </c>
      <c r="D23" s="2" t="s">
        <v>168</v>
      </c>
      <c r="E23" s="2">
        <v>22</v>
      </c>
      <c r="F23" s="2" t="s">
        <v>1335</v>
      </c>
      <c r="G23" s="2" t="s">
        <v>1328</v>
      </c>
      <c r="H23" s="2">
        <v>-152.16867999999999</v>
      </c>
      <c r="I23" s="2">
        <v>61.225940000000001</v>
      </c>
      <c r="J23" s="2" t="s">
        <v>267</v>
      </c>
      <c r="K23" s="2" t="s">
        <v>1102</v>
      </c>
      <c r="L23" s="2" t="s">
        <v>1101</v>
      </c>
      <c r="M23" s="26" t="s">
        <v>1345</v>
      </c>
      <c r="N23" s="2" t="s">
        <v>14</v>
      </c>
      <c r="O23" s="13">
        <v>100</v>
      </c>
      <c r="P23" s="2">
        <v>0.9</v>
      </c>
      <c r="Q23" s="2" t="s">
        <v>1253</v>
      </c>
      <c r="R23" s="2" t="s">
        <v>1254</v>
      </c>
      <c r="S23" s="2" t="s">
        <v>144</v>
      </c>
      <c r="T23" s="23" t="s">
        <v>1336</v>
      </c>
      <c r="U23" s="29" t="s">
        <v>1096</v>
      </c>
      <c r="W23">
        <f t="shared" si="0"/>
        <v>900</v>
      </c>
    </row>
    <row r="24" spans="1:23" ht="31" customHeight="1" x14ac:dyDescent="0.2">
      <c r="A24" s="2">
        <v>103</v>
      </c>
      <c r="B24" s="2" t="s">
        <v>1257</v>
      </c>
      <c r="C24" s="2" t="s">
        <v>1258</v>
      </c>
      <c r="D24" s="2" t="s">
        <v>171</v>
      </c>
      <c r="E24" s="2">
        <v>23</v>
      </c>
      <c r="F24" s="2" t="s">
        <v>1335</v>
      </c>
      <c r="G24" s="2" t="s">
        <v>1328</v>
      </c>
      <c r="H24" s="2">
        <v>-152.1687</v>
      </c>
      <c r="I24" s="2">
        <v>61.225900000000003</v>
      </c>
      <c r="J24" s="2" t="s">
        <v>267</v>
      </c>
      <c r="K24" s="2" t="s">
        <v>1102</v>
      </c>
      <c r="L24" s="2" t="s">
        <v>1101</v>
      </c>
      <c r="M24" s="26" t="s">
        <v>1345</v>
      </c>
      <c r="N24" s="2" t="s">
        <v>14</v>
      </c>
      <c r="O24" s="13">
        <v>100</v>
      </c>
      <c r="P24" s="2">
        <v>0.9</v>
      </c>
      <c r="Q24" s="2" t="s">
        <v>1257</v>
      </c>
      <c r="R24" s="2" t="s">
        <v>1258</v>
      </c>
      <c r="S24" s="2" t="s">
        <v>144</v>
      </c>
      <c r="T24" s="23" t="s">
        <v>1336</v>
      </c>
      <c r="U24" s="29" t="s">
        <v>1096</v>
      </c>
      <c r="W24">
        <f t="shared" si="0"/>
        <v>900</v>
      </c>
    </row>
    <row r="25" spans="1:23" ht="31" customHeight="1" x14ac:dyDescent="0.2">
      <c r="A25" s="2">
        <v>104</v>
      </c>
      <c r="B25" s="2" t="s">
        <v>1259</v>
      </c>
      <c r="C25" s="2" t="s">
        <v>1260</v>
      </c>
      <c r="D25" s="2" t="s">
        <v>173</v>
      </c>
      <c r="E25" s="13">
        <v>24</v>
      </c>
      <c r="F25" s="2" t="s">
        <v>1335</v>
      </c>
      <c r="G25" s="2" t="s">
        <v>1328</v>
      </c>
      <c r="H25" s="2">
        <v>-152.1687</v>
      </c>
      <c r="I25" s="2">
        <v>61.225900000000003</v>
      </c>
      <c r="J25" s="2" t="s">
        <v>267</v>
      </c>
      <c r="K25" s="2" t="s">
        <v>1102</v>
      </c>
      <c r="L25" s="2" t="s">
        <v>1101</v>
      </c>
      <c r="M25" s="26" t="s">
        <v>1345</v>
      </c>
      <c r="N25" s="2" t="s">
        <v>14</v>
      </c>
      <c r="O25" s="13">
        <v>100</v>
      </c>
      <c r="P25" s="2">
        <v>0.9</v>
      </c>
      <c r="Q25" s="2" t="s">
        <v>1259</v>
      </c>
      <c r="R25" s="2" t="s">
        <v>1260</v>
      </c>
      <c r="S25" s="2" t="s">
        <v>144</v>
      </c>
      <c r="T25" s="23" t="s">
        <v>1336</v>
      </c>
      <c r="U25" s="29" t="s">
        <v>1096</v>
      </c>
      <c r="W25">
        <f t="shared" si="0"/>
        <v>900</v>
      </c>
    </row>
    <row r="26" spans="1:23" ht="31" customHeight="1" x14ac:dyDescent="0.2">
      <c r="A26" s="2">
        <v>5</v>
      </c>
      <c r="B26" s="2" t="s">
        <v>1261</v>
      </c>
      <c r="C26" s="2" t="s">
        <v>1262</v>
      </c>
      <c r="D26" s="2" t="s">
        <v>175</v>
      </c>
      <c r="E26" s="13">
        <v>25</v>
      </c>
      <c r="F26" s="2" t="s">
        <v>1335</v>
      </c>
      <c r="G26" s="2" t="s">
        <v>1329</v>
      </c>
      <c r="H26" s="2">
        <v>-122.191</v>
      </c>
      <c r="I26" s="2">
        <v>46.213000000000001</v>
      </c>
      <c r="J26" s="2" t="s">
        <v>267</v>
      </c>
      <c r="K26" s="2" t="s">
        <v>6</v>
      </c>
      <c r="L26" s="2" t="s">
        <v>1103</v>
      </c>
      <c r="M26" s="26" t="s">
        <v>1345</v>
      </c>
      <c r="N26" s="2" t="s">
        <v>16</v>
      </c>
      <c r="O26" s="2">
        <v>50</v>
      </c>
      <c r="P26" s="2">
        <v>0.2</v>
      </c>
      <c r="Q26" s="2" t="s">
        <v>1261</v>
      </c>
      <c r="R26" s="2" t="s">
        <v>1262</v>
      </c>
      <c r="S26" s="2" t="s">
        <v>1115</v>
      </c>
      <c r="T26" s="23" t="s">
        <v>1336</v>
      </c>
      <c r="U26" s="29" t="s">
        <v>1096</v>
      </c>
      <c r="W26">
        <f t="shared" si="0"/>
        <v>200</v>
      </c>
    </row>
    <row r="27" spans="1:23" ht="31" customHeight="1" x14ac:dyDescent="0.2">
      <c r="A27" s="2">
        <v>35</v>
      </c>
      <c r="B27" s="2" t="s">
        <v>1265</v>
      </c>
      <c r="C27" s="2" t="s">
        <v>1266</v>
      </c>
      <c r="D27" s="2" t="s">
        <v>175</v>
      </c>
      <c r="E27" s="2">
        <v>26</v>
      </c>
      <c r="F27" s="2" t="s">
        <v>1335</v>
      </c>
      <c r="G27" s="2" t="s">
        <v>1329</v>
      </c>
      <c r="H27" s="2">
        <v>-122.21442</v>
      </c>
      <c r="I27" s="2">
        <v>46.205080000000002</v>
      </c>
      <c r="J27" s="2" t="s">
        <v>267</v>
      </c>
      <c r="K27" s="2" t="s">
        <v>6</v>
      </c>
      <c r="L27" s="2" t="s">
        <v>1103</v>
      </c>
      <c r="M27" s="26" t="s">
        <v>1345</v>
      </c>
      <c r="N27" s="2" t="s">
        <v>16</v>
      </c>
      <c r="O27" s="2">
        <v>50</v>
      </c>
      <c r="P27" s="2">
        <v>0.2</v>
      </c>
      <c r="Q27" s="2" t="s">
        <v>1265</v>
      </c>
      <c r="R27" s="2" t="s">
        <v>1266</v>
      </c>
      <c r="S27" s="2" t="s">
        <v>1115</v>
      </c>
      <c r="T27" s="23" t="s">
        <v>1336</v>
      </c>
      <c r="U27" s="29" t="s">
        <v>1096</v>
      </c>
      <c r="W27">
        <f t="shared" si="0"/>
        <v>200</v>
      </c>
    </row>
    <row r="28" spans="1:23" ht="31" customHeight="1" x14ac:dyDescent="0.2">
      <c r="A28" s="2">
        <v>52</v>
      </c>
      <c r="B28" s="2" t="s">
        <v>1263</v>
      </c>
      <c r="C28" s="2" t="s">
        <v>1264</v>
      </c>
      <c r="D28" s="2" t="s">
        <v>175</v>
      </c>
      <c r="E28" s="2">
        <v>27</v>
      </c>
      <c r="F28" s="2" t="s">
        <v>1335</v>
      </c>
      <c r="G28" s="2" t="s">
        <v>1329</v>
      </c>
      <c r="H28" s="2">
        <v>-122.21442</v>
      </c>
      <c r="I28" s="2">
        <v>46.205080000000002</v>
      </c>
      <c r="J28" s="2" t="s">
        <v>267</v>
      </c>
      <c r="K28" s="2" t="s">
        <v>6</v>
      </c>
      <c r="L28" s="2" t="s">
        <v>1103</v>
      </c>
      <c r="M28" s="26" t="s">
        <v>1345</v>
      </c>
      <c r="N28" s="2" t="s">
        <v>16</v>
      </c>
      <c r="O28" s="2">
        <v>50</v>
      </c>
      <c r="P28" s="2">
        <v>0.2</v>
      </c>
      <c r="Q28" s="2" t="s">
        <v>1263</v>
      </c>
      <c r="R28" s="2" t="s">
        <v>1264</v>
      </c>
      <c r="S28" s="2" t="s">
        <v>1115</v>
      </c>
      <c r="T28" s="23" t="s">
        <v>1336</v>
      </c>
      <c r="U28" s="29" t="s">
        <v>1096</v>
      </c>
      <c r="W28">
        <f t="shared" si="0"/>
        <v>200</v>
      </c>
    </row>
    <row r="29" spans="1:23" ht="31" customHeight="1" x14ac:dyDescent="0.2">
      <c r="A29" s="2">
        <v>276</v>
      </c>
      <c r="B29" s="2" t="s">
        <v>1273</v>
      </c>
      <c r="C29" s="2" t="s">
        <v>1274</v>
      </c>
      <c r="D29" s="2" t="s">
        <v>183</v>
      </c>
      <c r="E29" s="13">
        <v>28</v>
      </c>
      <c r="F29" s="2" t="s">
        <v>1335</v>
      </c>
      <c r="G29" s="2" t="s">
        <v>1330</v>
      </c>
      <c r="H29" s="2">
        <v>-111.62291999999999</v>
      </c>
      <c r="I29" s="2">
        <v>35.26</v>
      </c>
      <c r="J29" s="2" t="s">
        <v>267</v>
      </c>
      <c r="K29" s="2" t="s">
        <v>3</v>
      </c>
      <c r="L29" s="2" t="s">
        <v>1105</v>
      </c>
      <c r="M29" s="26" t="s">
        <v>1345</v>
      </c>
      <c r="N29" s="2" t="s">
        <v>14</v>
      </c>
      <c r="O29" s="2">
        <v>200</v>
      </c>
      <c r="P29" s="2">
        <v>0.1</v>
      </c>
      <c r="Q29" s="2" t="s">
        <v>1273</v>
      </c>
      <c r="R29" s="2" t="s">
        <v>1274</v>
      </c>
      <c r="S29" s="2" t="s">
        <v>1115</v>
      </c>
      <c r="T29" s="2" t="s">
        <v>95</v>
      </c>
      <c r="U29" s="27"/>
      <c r="W29">
        <f t="shared" si="0"/>
        <v>100</v>
      </c>
    </row>
    <row r="30" spans="1:23" ht="31" customHeight="1" x14ac:dyDescent="0.2">
      <c r="A30" s="2">
        <v>12</v>
      </c>
      <c r="B30" s="2" t="s">
        <v>1275</v>
      </c>
      <c r="C30" s="2" t="s">
        <v>1276</v>
      </c>
      <c r="D30" s="2" t="s">
        <v>185</v>
      </c>
      <c r="E30" s="13">
        <v>29</v>
      </c>
      <c r="F30" s="2" t="s">
        <v>1335</v>
      </c>
      <c r="G30" s="2" t="s">
        <v>1317</v>
      </c>
      <c r="H30" s="2">
        <v>-121.85259000000001</v>
      </c>
      <c r="I30" s="2">
        <v>48.28631</v>
      </c>
      <c r="J30" s="2" t="s">
        <v>267</v>
      </c>
      <c r="K30" s="2" t="s">
        <v>104</v>
      </c>
      <c r="L30" s="2" t="s">
        <v>1213</v>
      </c>
      <c r="M30" s="26" t="s">
        <v>1345</v>
      </c>
      <c r="N30" s="2" t="s">
        <v>14</v>
      </c>
      <c r="O30" s="2">
        <v>100</v>
      </c>
      <c r="P30" s="2">
        <v>11.5</v>
      </c>
      <c r="Q30" s="2" t="s">
        <v>1275</v>
      </c>
      <c r="R30" s="2" t="s">
        <v>1276</v>
      </c>
      <c r="S30" s="2" t="s">
        <v>1403</v>
      </c>
      <c r="T30" s="19" t="s">
        <v>1336</v>
      </c>
      <c r="U30" s="29" t="s">
        <v>1096</v>
      </c>
      <c r="W30">
        <f t="shared" si="0"/>
        <v>11500</v>
      </c>
    </row>
    <row r="31" spans="1:23" ht="31" customHeight="1" x14ac:dyDescent="0.2">
      <c r="A31" s="2">
        <v>58</v>
      </c>
      <c r="B31" s="2" t="s">
        <v>1279</v>
      </c>
      <c r="C31" s="2" t="s">
        <v>1280</v>
      </c>
      <c r="D31" s="2" t="s">
        <v>192</v>
      </c>
      <c r="E31" s="2">
        <v>30</v>
      </c>
      <c r="F31" s="2" t="s">
        <v>1335</v>
      </c>
      <c r="G31" s="2" t="s">
        <v>1317</v>
      </c>
      <c r="H31" s="2">
        <v>-121.85026000000001</v>
      </c>
      <c r="I31" s="2">
        <v>48.2866</v>
      </c>
      <c r="J31" s="2" t="s">
        <v>267</v>
      </c>
      <c r="K31" s="2" t="s">
        <v>104</v>
      </c>
      <c r="L31" s="2" t="s">
        <v>1213</v>
      </c>
      <c r="M31" s="26" t="s">
        <v>1345</v>
      </c>
      <c r="N31" s="2" t="s">
        <v>14</v>
      </c>
      <c r="O31" s="2">
        <v>100</v>
      </c>
      <c r="P31" s="2">
        <v>11.7</v>
      </c>
      <c r="Q31" s="2" t="s">
        <v>1279</v>
      </c>
      <c r="R31" s="2" t="s">
        <v>1280</v>
      </c>
      <c r="S31" s="2" t="s">
        <v>190</v>
      </c>
      <c r="T31" s="19" t="s">
        <v>1336</v>
      </c>
      <c r="U31" s="29" t="s">
        <v>1096</v>
      </c>
      <c r="W31">
        <f t="shared" si="0"/>
        <v>11700</v>
      </c>
    </row>
    <row r="32" spans="1:23" ht="31" customHeight="1" x14ac:dyDescent="0.2">
      <c r="A32" s="2">
        <v>107</v>
      </c>
      <c r="B32" s="2" t="s">
        <v>1277</v>
      </c>
      <c r="C32" s="2" t="s">
        <v>1278</v>
      </c>
      <c r="D32" s="2" t="s">
        <v>188</v>
      </c>
      <c r="E32" s="2">
        <v>31</v>
      </c>
      <c r="F32" s="2" t="s">
        <v>1335</v>
      </c>
      <c r="G32" s="2" t="s">
        <v>1317</v>
      </c>
      <c r="H32" s="2">
        <v>-121.85026000000001</v>
      </c>
      <c r="I32" s="2">
        <v>48.286630000000002</v>
      </c>
      <c r="J32" s="2" t="s">
        <v>267</v>
      </c>
      <c r="K32" s="2" t="s">
        <v>6</v>
      </c>
      <c r="L32" s="2" t="s">
        <v>1106</v>
      </c>
      <c r="M32" s="26" t="s">
        <v>1345</v>
      </c>
      <c r="N32" s="2" t="s">
        <v>14</v>
      </c>
      <c r="O32" s="2">
        <v>50</v>
      </c>
      <c r="P32" s="2">
        <v>0.2</v>
      </c>
      <c r="Q32" s="2" t="s">
        <v>1277</v>
      </c>
      <c r="R32" s="2" t="s">
        <v>1278</v>
      </c>
      <c r="S32" s="2" t="s">
        <v>190</v>
      </c>
      <c r="T32" s="19" t="s">
        <v>95</v>
      </c>
      <c r="U32" s="27"/>
      <c r="W32">
        <f t="shared" si="0"/>
        <v>200</v>
      </c>
    </row>
    <row r="33" spans="1:23" ht="31" customHeight="1" x14ac:dyDescent="0.2">
      <c r="A33" s="2">
        <v>14</v>
      </c>
      <c r="B33" s="2" t="s">
        <v>1281</v>
      </c>
      <c r="C33" s="2" t="s">
        <v>1282</v>
      </c>
      <c r="D33" s="2" t="s">
        <v>193</v>
      </c>
      <c r="E33" s="13">
        <v>32</v>
      </c>
      <c r="F33" s="2" t="s">
        <v>1335</v>
      </c>
      <c r="G33" s="2" t="s">
        <v>583</v>
      </c>
      <c r="H33" s="2">
        <v>-152.76268999999999</v>
      </c>
      <c r="I33" s="2">
        <v>60.49044</v>
      </c>
      <c r="J33" s="2" t="s">
        <v>267</v>
      </c>
      <c r="K33" s="2" t="s">
        <v>1102</v>
      </c>
      <c r="L33" s="2" t="s">
        <v>1107</v>
      </c>
      <c r="M33" s="26" t="s">
        <v>1345</v>
      </c>
      <c r="N33" s="2" t="s">
        <v>16</v>
      </c>
      <c r="O33" s="2">
        <v>50</v>
      </c>
      <c r="P33" s="2">
        <v>3.7</v>
      </c>
      <c r="Q33" s="25" t="s">
        <v>1376</v>
      </c>
      <c r="R33" s="2" t="s">
        <v>1282</v>
      </c>
      <c r="S33" s="2" t="s">
        <v>1354</v>
      </c>
      <c r="T33" s="2" t="s">
        <v>95</v>
      </c>
      <c r="U33" s="27" t="s">
        <v>1108</v>
      </c>
      <c r="W33">
        <f t="shared" si="0"/>
        <v>3700</v>
      </c>
    </row>
    <row r="34" spans="1:23" ht="31" customHeight="1" x14ac:dyDescent="0.2">
      <c r="A34" s="2">
        <v>15</v>
      </c>
      <c r="B34" s="2" t="s">
        <v>1285</v>
      </c>
      <c r="C34" s="2" t="s">
        <v>1286</v>
      </c>
      <c r="D34" s="2" t="s">
        <v>199</v>
      </c>
      <c r="E34" s="13">
        <v>33</v>
      </c>
      <c r="F34" s="2" t="s">
        <v>1335</v>
      </c>
      <c r="G34" s="2" t="s">
        <v>583</v>
      </c>
      <c r="H34" s="2">
        <v>-152.76268999999999</v>
      </c>
      <c r="I34" s="2">
        <v>60.49044</v>
      </c>
      <c r="J34" s="2" t="s">
        <v>267</v>
      </c>
      <c r="K34" s="2" t="s">
        <v>1102</v>
      </c>
      <c r="L34" s="2" t="s">
        <v>1107</v>
      </c>
      <c r="M34" s="26" t="s">
        <v>1345</v>
      </c>
      <c r="N34" s="2" t="s">
        <v>16</v>
      </c>
      <c r="O34" s="2">
        <v>50</v>
      </c>
      <c r="P34" s="2">
        <v>3.7</v>
      </c>
      <c r="Q34" s="25" t="s">
        <v>1368</v>
      </c>
      <c r="R34" s="2" t="s">
        <v>1286</v>
      </c>
      <c r="S34" s="2" t="s">
        <v>1354</v>
      </c>
      <c r="T34" s="2" t="s">
        <v>95</v>
      </c>
      <c r="U34" s="27" t="s">
        <v>1108</v>
      </c>
      <c r="W34">
        <f t="shared" si="0"/>
        <v>3700</v>
      </c>
    </row>
    <row r="35" spans="1:23" ht="31" customHeight="1" x14ac:dyDescent="0.2">
      <c r="A35" s="2">
        <v>63</v>
      </c>
      <c r="B35" s="2" t="s">
        <v>1287</v>
      </c>
      <c r="C35" s="2" t="s">
        <v>1288</v>
      </c>
      <c r="D35" s="2" t="s">
        <v>201</v>
      </c>
      <c r="E35" s="2">
        <v>34</v>
      </c>
      <c r="F35" s="2" t="s">
        <v>1335</v>
      </c>
      <c r="G35" s="2" t="s">
        <v>583</v>
      </c>
      <c r="H35" s="2">
        <v>-152.76268999999999</v>
      </c>
      <c r="I35" s="2">
        <v>60.49044</v>
      </c>
      <c r="J35" s="2" t="s">
        <v>267</v>
      </c>
      <c r="K35" s="2" t="s">
        <v>1102</v>
      </c>
      <c r="L35" s="2" t="s">
        <v>1107</v>
      </c>
      <c r="M35" s="26" t="s">
        <v>1345</v>
      </c>
      <c r="N35" s="2" t="s">
        <v>16</v>
      </c>
      <c r="O35" s="2">
        <v>50</v>
      </c>
      <c r="P35" s="2">
        <v>3.7</v>
      </c>
      <c r="Q35" s="25" t="s">
        <v>1374</v>
      </c>
      <c r="R35" s="25" t="s">
        <v>1369</v>
      </c>
      <c r="S35" s="2" t="s">
        <v>1354</v>
      </c>
      <c r="T35" s="2" t="s">
        <v>95</v>
      </c>
      <c r="U35" s="27" t="s">
        <v>1108</v>
      </c>
      <c r="W35">
        <f t="shared" si="0"/>
        <v>3700</v>
      </c>
    </row>
    <row r="36" spans="1:23" ht="31" customHeight="1" x14ac:dyDescent="0.2">
      <c r="A36" s="2">
        <v>64</v>
      </c>
      <c r="B36" s="2" t="s">
        <v>1289</v>
      </c>
      <c r="C36" s="2" t="s">
        <v>1290</v>
      </c>
      <c r="D36" s="2" t="s">
        <v>203</v>
      </c>
      <c r="E36" s="2">
        <v>35</v>
      </c>
      <c r="F36" s="2" t="s">
        <v>1335</v>
      </c>
      <c r="G36" s="2" t="s">
        <v>583</v>
      </c>
      <c r="H36" s="2">
        <v>-152.76268999999999</v>
      </c>
      <c r="I36" s="2">
        <v>60.49044</v>
      </c>
      <c r="J36" s="2" t="s">
        <v>267</v>
      </c>
      <c r="K36" s="2" t="s">
        <v>1102</v>
      </c>
      <c r="L36" s="2" t="s">
        <v>1107</v>
      </c>
      <c r="M36" s="26" t="s">
        <v>1345</v>
      </c>
      <c r="N36" s="2" t="s">
        <v>16</v>
      </c>
      <c r="O36" s="2">
        <v>50</v>
      </c>
      <c r="P36" s="2">
        <v>3.7</v>
      </c>
      <c r="Q36" s="2" t="s">
        <v>1370</v>
      </c>
      <c r="R36" s="2" t="s">
        <v>1371</v>
      </c>
      <c r="S36" s="2" t="s">
        <v>1354</v>
      </c>
      <c r="T36" s="2" t="s">
        <v>95</v>
      </c>
      <c r="U36" s="27" t="s">
        <v>1108</v>
      </c>
      <c r="W36">
        <f t="shared" si="0"/>
        <v>3700</v>
      </c>
    </row>
    <row r="37" spans="1:23" ht="31" customHeight="1" x14ac:dyDescent="0.2">
      <c r="A37" s="2">
        <v>16</v>
      </c>
      <c r="B37" s="2" t="s">
        <v>1283</v>
      </c>
      <c r="C37" s="2" t="s">
        <v>1284</v>
      </c>
      <c r="D37" s="2" t="s">
        <v>194</v>
      </c>
      <c r="E37" s="13">
        <v>36</v>
      </c>
      <c r="F37" s="2" t="s">
        <v>1335</v>
      </c>
      <c r="G37" s="2" t="s">
        <v>583</v>
      </c>
      <c r="H37" s="2">
        <v>-152.76268999999999</v>
      </c>
      <c r="I37" s="2">
        <v>60.49044</v>
      </c>
      <c r="J37" s="2" t="s">
        <v>267</v>
      </c>
      <c r="K37" s="2" t="s">
        <v>1102</v>
      </c>
      <c r="L37" s="2" t="s">
        <v>1107</v>
      </c>
      <c r="M37" s="26" t="s">
        <v>1345</v>
      </c>
      <c r="N37" s="2" t="s">
        <v>16</v>
      </c>
      <c r="O37" s="2">
        <v>50</v>
      </c>
      <c r="P37" s="2">
        <v>3.7</v>
      </c>
      <c r="Q37" s="25" t="s">
        <v>1375</v>
      </c>
      <c r="R37" s="2" t="s">
        <v>1284</v>
      </c>
      <c r="S37" s="2" t="s">
        <v>1354</v>
      </c>
      <c r="T37" s="2" t="s">
        <v>95</v>
      </c>
      <c r="U37" s="27" t="s">
        <v>1108</v>
      </c>
      <c r="W37">
        <f t="shared" si="0"/>
        <v>3700</v>
      </c>
    </row>
    <row r="38" spans="1:23" ht="31" customHeight="1" x14ac:dyDescent="0.2">
      <c r="A38" s="2">
        <v>162</v>
      </c>
      <c r="B38" s="2" t="s">
        <v>1295</v>
      </c>
      <c r="C38" s="2" t="s">
        <v>1296</v>
      </c>
      <c r="D38" s="2" t="s">
        <v>205</v>
      </c>
      <c r="E38" s="13">
        <v>37</v>
      </c>
      <c r="F38" s="2" t="s">
        <v>1335</v>
      </c>
      <c r="G38" s="2" t="s">
        <v>205</v>
      </c>
      <c r="H38" s="2">
        <v>-163.97059999999999</v>
      </c>
      <c r="I38" s="2">
        <v>54.756599999999999</v>
      </c>
      <c r="J38" s="2" t="s">
        <v>267</v>
      </c>
      <c r="K38" s="2" t="s">
        <v>1102</v>
      </c>
      <c r="L38" s="2" t="s">
        <v>1110</v>
      </c>
      <c r="M38" s="26" t="s">
        <v>1345</v>
      </c>
      <c r="N38" s="2" t="s">
        <v>16</v>
      </c>
      <c r="O38" s="2">
        <v>50</v>
      </c>
      <c r="P38" s="2">
        <v>5.4</v>
      </c>
      <c r="Q38" s="2" t="s">
        <v>1295</v>
      </c>
      <c r="R38" s="2" t="s">
        <v>1296</v>
      </c>
      <c r="S38" s="2" t="s">
        <v>207</v>
      </c>
      <c r="T38" s="2" t="s">
        <v>95</v>
      </c>
      <c r="U38" s="27"/>
      <c r="W38">
        <f t="shared" si="0"/>
        <v>5400</v>
      </c>
    </row>
    <row r="39" spans="1:23" ht="31" customHeight="1" x14ac:dyDescent="0.2">
      <c r="A39" s="2">
        <v>267</v>
      </c>
      <c r="B39" s="2" t="s">
        <v>1301</v>
      </c>
      <c r="C39" s="2" t="s">
        <v>1302</v>
      </c>
      <c r="D39" s="2" t="s">
        <v>956</v>
      </c>
      <c r="E39" s="2">
        <v>38</v>
      </c>
      <c r="F39" s="2" t="s">
        <v>1337</v>
      </c>
      <c r="G39" s="2" t="s">
        <v>1360</v>
      </c>
      <c r="H39" s="2">
        <v>-72.431250000000006</v>
      </c>
      <c r="I39" s="2">
        <v>-43.359900000000003</v>
      </c>
      <c r="J39" s="2" t="s">
        <v>267</v>
      </c>
      <c r="K39" s="2" t="s">
        <v>1216</v>
      </c>
      <c r="L39" s="2" t="s">
        <v>1215</v>
      </c>
      <c r="M39" s="26" t="s">
        <v>1345</v>
      </c>
      <c r="N39" s="2" t="s">
        <v>13</v>
      </c>
      <c r="O39" s="2">
        <v>100</v>
      </c>
      <c r="P39" s="2">
        <v>50.9</v>
      </c>
      <c r="Q39" s="2" t="s">
        <v>1301</v>
      </c>
      <c r="R39" s="2" t="s">
        <v>1302</v>
      </c>
      <c r="S39" s="2" t="s">
        <v>1401</v>
      </c>
      <c r="T39" s="19" t="s">
        <v>1336</v>
      </c>
      <c r="U39" s="29" t="s">
        <v>1096</v>
      </c>
      <c r="W39">
        <f t="shared" si="0"/>
        <v>50900</v>
      </c>
    </row>
    <row r="40" spans="1:23" ht="31" customHeight="1" x14ac:dyDescent="0.2">
      <c r="A40" s="2"/>
      <c r="B40" s="2"/>
      <c r="C40" s="2"/>
      <c r="D40" s="2"/>
      <c r="E40" s="13"/>
      <c r="F40" s="2"/>
      <c r="G40" s="2"/>
      <c r="H40" s="2"/>
      <c r="I40" s="2"/>
      <c r="J40" s="2"/>
      <c r="K40" s="2"/>
      <c r="L40" s="2"/>
      <c r="M40" s="26"/>
      <c r="N40" s="2"/>
      <c r="O40" s="2"/>
      <c r="P40" s="2"/>
      <c r="Q40" s="2"/>
      <c r="R40" s="2"/>
      <c r="S40" s="2"/>
      <c r="T40" s="19"/>
      <c r="U40" s="29"/>
    </row>
    <row r="41" spans="1:23" ht="31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19"/>
      <c r="U41" s="29"/>
    </row>
    <row r="42" spans="1:23" ht="31" customHeight="1" x14ac:dyDescent="0.2">
      <c r="A42" s="2">
        <v>285</v>
      </c>
      <c r="B42" s="2" t="s">
        <v>1237</v>
      </c>
      <c r="C42" s="2" t="s">
        <v>1238</v>
      </c>
      <c r="D42" s="2" t="s">
        <v>157</v>
      </c>
      <c r="E42" s="2">
        <v>1</v>
      </c>
      <c r="F42" s="2" t="s">
        <v>1338</v>
      </c>
      <c r="G42" s="2" t="s">
        <v>157</v>
      </c>
      <c r="H42" s="2">
        <v>-62.176200000000001</v>
      </c>
      <c r="I42" s="2">
        <v>16.709</v>
      </c>
      <c r="J42" s="2"/>
      <c r="K42" s="2"/>
      <c r="L42" s="2"/>
      <c r="M42" s="2"/>
      <c r="N42" s="2"/>
      <c r="O42" s="2"/>
      <c r="P42" s="2">
        <v>19</v>
      </c>
      <c r="Q42" s="2" t="s">
        <v>1237</v>
      </c>
      <c r="R42" s="2" t="s">
        <v>1238</v>
      </c>
      <c r="S42" s="2" t="s">
        <v>1356</v>
      </c>
      <c r="T42" s="19" t="s">
        <v>1093</v>
      </c>
      <c r="U42" s="30" t="s">
        <v>1098</v>
      </c>
    </row>
    <row r="43" spans="1:23" ht="31" customHeight="1" x14ac:dyDescent="0.2">
      <c r="A43" s="13">
        <v>183</v>
      </c>
      <c r="B43" s="13" t="s">
        <v>1225</v>
      </c>
      <c r="C43" s="13" t="s">
        <v>1226</v>
      </c>
      <c r="D43" s="13" t="s">
        <v>140</v>
      </c>
      <c r="E43" s="2">
        <v>2</v>
      </c>
      <c r="F43" s="2" t="s">
        <v>1338</v>
      </c>
      <c r="G43" s="13" t="s">
        <v>1315</v>
      </c>
      <c r="H43" s="13">
        <v>10.72268</v>
      </c>
      <c r="I43" s="13">
        <v>46.671990000000001</v>
      </c>
      <c r="J43" s="13"/>
      <c r="K43" s="13"/>
      <c r="L43" s="13"/>
      <c r="M43" s="13"/>
      <c r="N43" s="13"/>
      <c r="O43" s="13"/>
      <c r="P43" s="13"/>
      <c r="Q43" s="13" t="s">
        <v>1225</v>
      </c>
      <c r="R43" s="13" t="s">
        <v>1226</v>
      </c>
      <c r="S43" s="13" t="s">
        <v>121</v>
      </c>
      <c r="T43" s="19" t="s">
        <v>1093</v>
      </c>
      <c r="U43" s="20" t="s">
        <v>1099</v>
      </c>
    </row>
    <row r="44" spans="1:23" ht="31" customHeight="1" x14ac:dyDescent="0.2">
      <c r="A44" s="13">
        <v>184</v>
      </c>
      <c r="B44" s="13" t="s">
        <v>1227</v>
      </c>
      <c r="C44" s="13" t="s">
        <v>1228</v>
      </c>
      <c r="D44" s="13" t="s">
        <v>147</v>
      </c>
      <c r="E44" s="2">
        <v>3</v>
      </c>
      <c r="F44" s="2" t="s">
        <v>1338</v>
      </c>
      <c r="G44" s="13" t="s">
        <v>1315</v>
      </c>
      <c r="H44" s="13">
        <v>10.72268</v>
      </c>
      <c r="I44" s="13">
        <v>46.671990000000001</v>
      </c>
      <c r="J44" s="13"/>
      <c r="K44" s="13"/>
      <c r="L44" s="13"/>
      <c r="M44" s="13"/>
      <c r="N44" s="13"/>
      <c r="O44" s="13"/>
      <c r="P44" s="13"/>
      <c r="Q44" s="13" t="s">
        <v>1227</v>
      </c>
      <c r="R44" s="13" t="s">
        <v>1228</v>
      </c>
      <c r="S44" s="13" t="s">
        <v>121</v>
      </c>
      <c r="T44" s="19" t="s">
        <v>1093</v>
      </c>
      <c r="U44" s="20" t="s">
        <v>1099</v>
      </c>
    </row>
    <row r="45" spans="1:23" ht="31" customHeight="1" x14ac:dyDescent="0.2">
      <c r="A45" s="13">
        <v>185</v>
      </c>
      <c r="B45" s="13" t="s">
        <v>1229</v>
      </c>
      <c r="C45" s="13" t="s">
        <v>1230</v>
      </c>
      <c r="D45" s="13" t="s">
        <v>148</v>
      </c>
      <c r="E45" s="2">
        <v>4</v>
      </c>
      <c r="F45" s="2" t="s">
        <v>1338</v>
      </c>
      <c r="G45" s="13" t="s">
        <v>1315</v>
      </c>
      <c r="H45" s="13">
        <v>10.72268</v>
      </c>
      <c r="I45" s="13">
        <v>46.671990000000001</v>
      </c>
      <c r="J45" s="13"/>
      <c r="K45" s="13"/>
      <c r="L45" s="13"/>
      <c r="M45" s="13"/>
      <c r="N45" s="13"/>
      <c r="O45" s="13"/>
      <c r="P45" s="13"/>
      <c r="Q45" s="13" t="s">
        <v>1229</v>
      </c>
      <c r="R45" s="13" t="s">
        <v>1230</v>
      </c>
      <c r="S45" s="13" t="s">
        <v>121</v>
      </c>
      <c r="T45" s="19" t="s">
        <v>1093</v>
      </c>
      <c r="U45" s="20" t="s">
        <v>1099</v>
      </c>
    </row>
    <row r="46" spans="1:23" ht="31" customHeight="1" x14ac:dyDescent="0.2">
      <c r="A46" s="2">
        <v>268</v>
      </c>
      <c r="B46" s="2" t="s">
        <v>1231</v>
      </c>
      <c r="C46" s="2" t="s">
        <v>1232</v>
      </c>
      <c r="D46" s="2" t="s">
        <v>149</v>
      </c>
      <c r="E46" s="2">
        <v>5</v>
      </c>
      <c r="F46" s="2" t="s">
        <v>1339</v>
      </c>
      <c r="G46" s="2" t="s">
        <v>1316</v>
      </c>
      <c r="H46" s="2">
        <v>120.64400000000001</v>
      </c>
      <c r="I46" s="2">
        <v>23.161999999999999</v>
      </c>
      <c r="J46" s="2"/>
      <c r="K46" s="2"/>
      <c r="L46" s="2"/>
      <c r="M46" s="2"/>
      <c r="N46" s="2"/>
      <c r="O46" s="2"/>
      <c r="P46" s="2">
        <v>71.5</v>
      </c>
      <c r="Q46" s="2" t="s">
        <v>1231</v>
      </c>
      <c r="R46" s="2" t="s">
        <v>1232</v>
      </c>
      <c r="S46" s="2" t="s">
        <v>1357</v>
      </c>
      <c r="T46" s="19" t="s">
        <v>1093</v>
      </c>
      <c r="U46" s="20" t="s">
        <v>1098</v>
      </c>
    </row>
    <row r="47" spans="1:23" ht="31" customHeight="1" x14ac:dyDescent="0.2">
      <c r="A47" s="2">
        <v>24</v>
      </c>
      <c r="B47" s="2" t="s">
        <v>1223</v>
      </c>
      <c r="C47" s="2" t="s">
        <v>1224</v>
      </c>
      <c r="D47" s="2" t="s">
        <v>135</v>
      </c>
      <c r="E47" s="2">
        <v>6</v>
      </c>
      <c r="F47" s="2" t="s">
        <v>1335</v>
      </c>
      <c r="G47" s="2" t="s">
        <v>1321</v>
      </c>
      <c r="H47" s="2">
        <v>-122.01218</v>
      </c>
      <c r="I47" s="2">
        <v>49.467359999999999</v>
      </c>
      <c r="J47" s="2" t="s">
        <v>267</v>
      </c>
      <c r="K47" s="2" t="s">
        <v>1208</v>
      </c>
      <c r="L47" s="2" t="s">
        <v>1209</v>
      </c>
      <c r="M47" s="26" t="s">
        <v>1345</v>
      </c>
      <c r="N47" s="2" t="s">
        <v>16</v>
      </c>
      <c r="O47" s="2">
        <v>40</v>
      </c>
      <c r="P47" s="2">
        <v>43.8</v>
      </c>
      <c r="Q47" s="2" t="s">
        <v>1223</v>
      </c>
      <c r="R47" s="2" t="s">
        <v>1224</v>
      </c>
      <c r="S47" s="2" t="s">
        <v>138</v>
      </c>
      <c r="T47" s="19" t="s">
        <v>1093</v>
      </c>
      <c r="U47" s="29" t="s">
        <v>1097</v>
      </c>
    </row>
    <row r="48" spans="1:23" ht="31" customHeight="1" x14ac:dyDescent="0.2">
      <c r="A48" s="2">
        <v>2</v>
      </c>
      <c r="B48" s="2" t="s">
        <v>1255</v>
      </c>
      <c r="C48" s="2" t="s">
        <v>1256</v>
      </c>
      <c r="D48" s="2" t="s">
        <v>168</v>
      </c>
      <c r="E48" s="2">
        <v>7</v>
      </c>
      <c r="F48" s="2" t="s">
        <v>1335</v>
      </c>
      <c r="G48" s="2" t="s">
        <v>1328</v>
      </c>
      <c r="H48" s="2">
        <v>-152.16867999999999</v>
      </c>
      <c r="I48" s="2">
        <v>61.225940000000001</v>
      </c>
      <c r="J48" s="2" t="s">
        <v>267</v>
      </c>
      <c r="K48" s="2" t="s">
        <v>1102</v>
      </c>
      <c r="L48" s="2" t="s">
        <v>1366</v>
      </c>
      <c r="M48" s="26" t="s">
        <v>1345</v>
      </c>
      <c r="N48" s="2" t="s">
        <v>14</v>
      </c>
      <c r="O48" s="2">
        <v>50</v>
      </c>
      <c r="P48" s="2">
        <v>0.9</v>
      </c>
      <c r="Q48" s="2" t="s">
        <v>1255</v>
      </c>
      <c r="R48" s="2" t="s">
        <v>1256</v>
      </c>
      <c r="S48" s="2" t="s">
        <v>144</v>
      </c>
      <c r="T48" s="19" t="s">
        <v>1093</v>
      </c>
      <c r="U48" s="29" t="s">
        <v>1372</v>
      </c>
    </row>
    <row r="49" spans="1:23" ht="31" customHeight="1" x14ac:dyDescent="0.2">
      <c r="A49" s="2">
        <v>106</v>
      </c>
      <c r="B49" s="2" t="s">
        <v>1291</v>
      </c>
      <c r="C49" s="2" t="s">
        <v>1292</v>
      </c>
      <c r="D49" s="2" t="s">
        <v>469</v>
      </c>
      <c r="E49" s="2">
        <v>8</v>
      </c>
      <c r="F49" s="2" t="s">
        <v>1335</v>
      </c>
      <c r="G49" s="2" t="s">
        <v>1327</v>
      </c>
      <c r="H49" s="2">
        <v>-121.75369999999999</v>
      </c>
      <c r="I49" s="2">
        <v>46.874600000000001</v>
      </c>
      <c r="J49" s="2" t="s">
        <v>267</v>
      </c>
      <c r="K49" s="2" t="s">
        <v>104</v>
      </c>
      <c r="L49" s="2" t="s">
        <v>1109</v>
      </c>
      <c r="M49" s="26" t="s">
        <v>1345</v>
      </c>
      <c r="N49" s="2" t="s">
        <v>14</v>
      </c>
      <c r="O49" s="13">
        <v>100</v>
      </c>
      <c r="P49" s="2">
        <v>1.7</v>
      </c>
      <c r="Q49" s="2" t="s">
        <v>1291</v>
      </c>
      <c r="R49" s="2" t="s">
        <v>1292</v>
      </c>
      <c r="S49" s="2" t="s">
        <v>1353</v>
      </c>
      <c r="T49" s="19" t="s">
        <v>1093</v>
      </c>
      <c r="U49" s="27" t="s">
        <v>1367</v>
      </c>
    </row>
    <row r="50" spans="1:23" ht="31" customHeight="1" x14ac:dyDescent="0.2">
      <c r="A50" s="2">
        <v>126</v>
      </c>
      <c r="B50" s="2" t="s">
        <v>1293</v>
      </c>
      <c r="C50" s="2" t="s">
        <v>1294</v>
      </c>
      <c r="D50" s="2" t="s">
        <v>1047</v>
      </c>
      <c r="E50" s="2">
        <v>9</v>
      </c>
      <c r="F50" s="2" t="s">
        <v>1335</v>
      </c>
      <c r="G50" s="2" t="s">
        <v>1327</v>
      </c>
      <c r="H50" s="2">
        <v>-121.75369999999999</v>
      </c>
      <c r="I50" s="2">
        <v>46.874600000000001</v>
      </c>
      <c r="J50" s="2" t="s">
        <v>267</v>
      </c>
      <c r="K50" s="2" t="s">
        <v>104</v>
      </c>
      <c r="L50" s="2" t="s">
        <v>1109</v>
      </c>
      <c r="M50" s="26" t="s">
        <v>1345</v>
      </c>
      <c r="N50" s="2" t="s">
        <v>14</v>
      </c>
      <c r="O50" s="13">
        <v>100</v>
      </c>
      <c r="P50" s="2">
        <v>1.7</v>
      </c>
      <c r="Q50" s="2" t="s">
        <v>1293</v>
      </c>
      <c r="R50" s="2" t="s">
        <v>1294</v>
      </c>
      <c r="S50" s="2" t="s">
        <v>1353</v>
      </c>
      <c r="T50" s="19" t="s">
        <v>1093</v>
      </c>
      <c r="U50" s="33" t="s">
        <v>1367</v>
      </c>
    </row>
    <row r="51" spans="1:23" ht="31" customHeight="1" x14ac:dyDescent="0.2">
      <c r="A51" s="2">
        <v>17</v>
      </c>
      <c r="B51" s="2" t="s">
        <v>1297</v>
      </c>
      <c r="C51" s="2" t="s">
        <v>1298</v>
      </c>
      <c r="D51" s="2" t="s">
        <v>208</v>
      </c>
      <c r="E51" s="2">
        <v>10</v>
      </c>
      <c r="F51" s="2" t="s">
        <v>1335</v>
      </c>
      <c r="G51" s="2" t="s">
        <v>1331</v>
      </c>
      <c r="H51" s="2">
        <v>-122.26033</v>
      </c>
      <c r="I51" s="2">
        <v>46.059699999999999</v>
      </c>
      <c r="J51" s="2" t="s">
        <v>267</v>
      </c>
      <c r="K51" s="2" t="s">
        <v>104</v>
      </c>
      <c r="L51" s="2" t="s">
        <v>1214</v>
      </c>
      <c r="M51" s="26" t="s">
        <v>1345</v>
      </c>
      <c r="N51" s="2" t="s">
        <v>14</v>
      </c>
      <c r="O51" s="2">
        <v>100</v>
      </c>
      <c r="P51" s="2">
        <v>12.8</v>
      </c>
      <c r="Q51" s="2" t="s">
        <v>1297</v>
      </c>
      <c r="R51" s="2" t="s">
        <v>1298</v>
      </c>
      <c r="S51" s="2" t="s">
        <v>1355</v>
      </c>
      <c r="T51" s="19" t="s">
        <v>1093</v>
      </c>
      <c r="U51" s="29" t="s">
        <v>1363</v>
      </c>
    </row>
    <row r="52" spans="1:23" ht="31" customHeight="1" x14ac:dyDescent="0.2">
      <c r="A52" s="2">
        <v>158</v>
      </c>
      <c r="B52" s="2" t="s">
        <v>1235</v>
      </c>
      <c r="C52" s="2" t="s">
        <v>1236</v>
      </c>
      <c r="D52" s="2" t="s">
        <v>155</v>
      </c>
      <c r="E52" s="2">
        <v>6</v>
      </c>
      <c r="F52" s="2" t="s">
        <v>1335</v>
      </c>
      <c r="G52" s="2" t="s">
        <v>49</v>
      </c>
      <c r="H52" s="2">
        <v>-119.61</v>
      </c>
      <c r="I52" s="2">
        <v>34.425400000000003</v>
      </c>
      <c r="J52" s="13" t="s">
        <v>516</v>
      </c>
      <c r="K52" s="13" t="s">
        <v>4</v>
      </c>
      <c r="L52" s="13" t="s">
        <v>5</v>
      </c>
      <c r="M52" s="26" t="s">
        <v>1345</v>
      </c>
      <c r="N52" s="13" t="s">
        <v>1202</v>
      </c>
      <c r="O52" s="13">
        <v>100</v>
      </c>
      <c r="P52" s="13">
        <v>0.2</v>
      </c>
      <c r="Q52" s="2" t="s">
        <v>1235</v>
      </c>
      <c r="R52" s="2" t="s">
        <v>1236</v>
      </c>
      <c r="S52" s="2" t="s">
        <v>1115</v>
      </c>
      <c r="T52" s="24" t="s">
        <v>95</v>
      </c>
      <c r="U52" s="30" t="s">
        <v>1494</v>
      </c>
      <c r="W52">
        <f>P52*1000</f>
        <v>200</v>
      </c>
    </row>
    <row r="53" spans="1:23" ht="31" customHeight="1" x14ac:dyDescent="0.2">
      <c r="A53" s="2">
        <v>11</v>
      </c>
      <c r="B53" s="2" t="s">
        <v>1247</v>
      </c>
      <c r="C53" s="2" t="s">
        <v>1248</v>
      </c>
      <c r="D53" s="2" t="s">
        <v>650</v>
      </c>
      <c r="E53" s="2">
        <v>14</v>
      </c>
      <c r="F53" s="2" t="s">
        <v>1335</v>
      </c>
      <c r="G53" s="2" t="s">
        <v>1326</v>
      </c>
      <c r="H53" s="2">
        <v>-123.50387000000001</v>
      </c>
      <c r="I53" s="2">
        <v>50.631079999999997</v>
      </c>
      <c r="J53" s="2" t="s">
        <v>267</v>
      </c>
      <c r="K53" s="2" t="s">
        <v>1207</v>
      </c>
      <c r="L53" s="2" t="s">
        <v>1212</v>
      </c>
      <c r="M53" s="26" t="s">
        <v>1345</v>
      </c>
      <c r="N53" s="2" t="s">
        <v>16</v>
      </c>
      <c r="O53" s="39">
        <v>40</v>
      </c>
      <c r="P53" s="2">
        <v>69.8</v>
      </c>
      <c r="Q53" s="2" t="s">
        <v>1247</v>
      </c>
      <c r="R53" s="2" t="s">
        <v>1248</v>
      </c>
      <c r="S53" s="2" t="s">
        <v>1401</v>
      </c>
      <c r="T53" s="19" t="s">
        <v>1336</v>
      </c>
      <c r="U53" s="29" t="s">
        <v>1096</v>
      </c>
      <c r="W53">
        <f>P53*1000</f>
        <v>69800</v>
      </c>
    </row>
  </sheetData>
  <autoFilter ref="A1:U39" xr:uid="{899A2B23-C6A6-A44B-8EFF-33E2AE83F786}">
    <sortState xmlns:xlrd2="http://schemas.microsoft.com/office/spreadsheetml/2017/richdata2" ref="A2:U39">
      <sortCondition ref="E1:E39"/>
    </sortState>
  </autoFilter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AD513-3D99-7B47-A1D4-28059E9DCF20}">
  <sheetPr>
    <tabColor theme="9"/>
  </sheetPr>
  <dimension ref="A1:S127"/>
  <sheetViews>
    <sheetView tabSelected="1" zoomScale="115" workbookViewId="0">
      <pane ySplit="1" topLeftCell="A115" activePane="bottomLeft" state="frozen"/>
      <selection pane="bottomLeft" activeCell="R127" sqref="R127"/>
    </sheetView>
  </sheetViews>
  <sheetFormatPr baseColWidth="10" defaultRowHeight="31" customHeight="1" x14ac:dyDescent="0.2"/>
  <cols>
    <col min="1" max="1" width="10.83203125" style="8"/>
    <col min="2" max="2" width="12.83203125" style="8" customWidth="1"/>
    <col min="3" max="3" width="10.83203125" style="8"/>
    <col min="4" max="4" width="8.33203125" style="8" bestFit="1" customWidth="1"/>
    <col min="5" max="5" width="8.5" style="8" bestFit="1" customWidth="1"/>
    <col min="6" max="6" width="10.83203125" style="8"/>
    <col min="7" max="7" width="8" style="8" bestFit="1" customWidth="1"/>
    <col min="8" max="8" width="7" style="8" bestFit="1" customWidth="1"/>
    <col min="9" max="9" width="8" style="8" bestFit="1" customWidth="1"/>
    <col min="10" max="10" width="11.83203125" style="8" bestFit="1" customWidth="1"/>
    <col min="11" max="11" width="7" style="8" bestFit="1" customWidth="1"/>
    <col min="12" max="12" width="12.83203125" style="8" bestFit="1" customWidth="1"/>
    <col min="13" max="14" width="20.1640625" style="8" bestFit="1" customWidth="1"/>
    <col min="15" max="15" width="22.33203125" style="8" bestFit="1" customWidth="1"/>
    <col min="16" max="17" width="13.6640625" style="8" customWidth="1"/>
    <col min="18" max="18" width="14.33203125" style="8" customWidth="1"/>
    <col min="19" max="19" width="19.5" style="8" bestFit="1" customWidth="1"/>
    <col min="20" max="16384" width="10.83203125" style="8"/>
  </cols>
  <sheetData>
    <row r="1" spans="1:19" s="13" customFormat="1" ht="31" customHeight="1" x14ac:dyDescent="0.2">
      <c r="A1" s="1" t="s">
        <v>1080</v>
      </c>
      <c r="B1" s="1" t="s">
        <v>1340</v>
      </c>
      <c r="C1" s="1" t="s">
        <v>1313</v>
      </c>
      <c r="D1" s="1" t="s">
        <v>1516</v>
      </c>
      <c r="E1" s="1" t="s">
        <v>239</v>
      </c>
      <c r="F1" s="1" t="s">
        <v>1088</v>
      </c>
      <c r="G1" s="1" t="s">
        <v>1081</v>
      </c>
      <c r="H1" s="1" t="s">
        <v>1082</v>
      </c>
      <c r="I1" s="1" t="s">
        <v>1341</v>
      </c>
      <c r="J1" s="1" t="s">
        <v>27</v>
      </c>
      <c r="K1" s="1" t="s">
        <v>1113</v>
      </c>
      <c r="L1" s="1" t="s">
        <v>1377</v>
      </c>
      <c r="M1" s="1" t="s">
        <v>1346</v>
      </c>
      <c r="N1" s="1" t="s">
        <v>1347</v>
      </c>
      <c r="O1" s="1" t="s">
        <v>1398</v>
      </c>
      <c r="P1" s="1" t="s">
        <v>1512</v>
      </c>
      <c r="Q1" s="1" t="s">
        <v>1517</v>
      </c>
      <c r="R1" s="1" t="s">
        <v>108</v>
      </c>
      <c r="S1" s="40" t="s">
        <v>1518</v>
      </c>
    </row>
    <row r="2" spans="1:19" s="13" customFormat="1" ht="34" customHeight="1" x14ac:dyDescent="0.2">
      <c r="A2" s="2">
        <v>1</v>
      </c>
      <c r="B2" s="2" t="s">
        <v>1338</v>
      </c>
      <c r="C2" s="2" t="s">
        <v>29</v>
      </c>
      <c r="D2" s="13">
        <v>7.6299400000000004</v>
      </c>
      <c r="E2" s="13">
        <v>46.287300000000002</v>
      </c>
      <c r="F2" s="2" t="s">
        <v>543</v>
      </c>
      <c r="G2" s="2" t="s">
        <v>11</v>
      </c>
      <c r="H2" s="2" t="s">
        <v>12</v>
      </c>
      <c r="I2" s="2" t="s">
        <v>1345</v>
      </c>
      <c r="J2" s="2" t="s">
        <v>13</v>
      </c>
      <c r="K2" s="2">
        <v>200</v>
      </c>
      <c r="L2" s="2">
        <v>0.09</v>
      </c>
      <c r="M2" s="2" t="s">
        <v>1116</v>
      </c>
      <c r="N2" s="2" t="s">
        <v>1117</v>
      </c>
      <c r="O2" s="2" t="s">
        <v>1394</v>
      </c>
      <c r="P2" s="13" t="s">
        <v>1513</v>
      </c>
      <c r="Q2" s="13">
        <v>5</v>
      </c>
      <c r="R2" s="13" t="s">
        <v>1364</v>
      </c>
    </row>
    <row r="3" spans="1:19" s="13" customFormat="1" ht="31" customHeight="1" x14ac:dyDescent="0.2">
      <c r="A3" s="2">
        <v>2</v>
      </c>
      <c r="B3" s="2" t="s">
        <v>1338</v>
      </c>
      <c r="C3" s="2" t="s">
        <v>29</v>
      </c>
      <c r="D3" s="13">
        <v>7.6299400000000004</v>
      </c>
      <c r="E3" s="13">
        <v>46.287300000000002</v>
      </c>
      <c r="F3" s="2" t="s">
        <v>543</v>
      </c>
      <c r="G3" s="2" t="s">
        <v>11</v>
      </c>
      <c r="H3" s="2" t="s">
        <v>12</v>
      </c>
      <c r="I3" s="2" t="s">
        <v>1345</v>
      </c>
      <c r="J3" s="2" t="s">
        <v>13</v>
      </c>
      <c r="K3" s="2">
        <v>200</v>
      </c>
      <c r="L3" s="2">
        <v>0.09</v>
      </c>
      <c r="M3" s="2" t="s">
        <v>1429</v>
      </c>
      <c r="N3" s="2" t="s">
        <v>1430</v>
      </c>
      <c r="O3" s="2" t="s">
        <v>1431</v>
      </c>
      <c r="P3" s="13" t="s">
        <v>1513</v>
      </c>
      <c r="Q3" s="13">
        <v>1</v>
      </c>
      <c r="R3" s="13" t="s">
        <v>1364</v>
      </c>
    </row>
    <row r="4" spans="1:19" s="13" customFormat="1" ht="31" customHeight="1" x14ac:dyDescent="0.2">
      <c r="A4" s="2">
        <v>3</v>
      </c>
      <c r="B4" s="2" t="s">
        <v>1338</v>
      </c>
      <c r="C4" s="2" t="s">
        <v>29</v>
      </c>
      <c r="D4" s="13">
        <v>7.6299400000000004</v>
      </c>
      <c r="E4" s="13">
        <v>46.287300000000002</v>
      </c>
      <c r="F4" s="2" t="s">
        <v>543</v>
      </c>
      <c r="G4" s="2" t="s">
        <v>11</v>
      </c>
      <c r="H4" s="2" t="s">
        <v>12</v>
      </c>
      <c r="I4" s="2" t="s">
        <v>1345</v>
      </c>
      <c r="J4" s="2" t="s">
        <v>13</v>
      </c>
      <c r="K4" s="2">
        <v>200</v>
      </c>
      <c r="L4" s="2">
        <v>0.09</v>
      </c>
      <c r="M4" s="2" t="s">
        <v>1430</v>
      </c>
      <c r="N4" s="2" t="s">
        <v>1443</v>
      </c>
      <c r="O4" s="2" t="s">
        <v>1432</v>
      </c>
      <c r="P4" s="13" t="s">
        <v>1513</v>
      </c>
      <c r="Q4" s="13">
        <v>5</v>
      </c>
      <c r="R4" s="13" t="s">
        <v>1364</v>
      </c>
    </row>
    <row r="5" spans="1:19" s="13" customFormat="1" ht="31" customHeight="1" x14ac:dyDescent="0.2">
      <c r="A5" s="2">
        <v>4</v>
      </c>
      <c r="B5" s="2" t="s">
        <v>1338</v>
      </c>
      <c r="C5" s="2" t="s">
        <v>29</v>
      </c>
      <c r="D5" s="13">
        <v>7.6299400000000004</v>
      </c>
      <c r="E5" s="13">
        <v>46.287300000000002</v>
      </c>
      <c r="F5" s="2" t="s">
        <v>543</v>
      </c>
      <c r="G5" s="2" t="s">
        <v>11</v>
      </c>
      <c r="H5" s="2" t="s">
        <v>12</v>
      </c>
      <c r="I5" s="2" t="s">
        <v>1345</v>
      </c>
      <c r="J5" s="2" t="s">
        <v>13</v>
      </c>
      <c r="K5" s="2">
        <v>200</v>
      </c>
      <c r="L5" s="2">
        <v>0.09</v>
      </c>
      <c r="M5" s="2" t="s">
        <v>1444</v>
      </c>
      <c r="N5" s="2" t="s">
        <v>1118</v>
      </c>
      <c r="O5" s="2" t="s">
        <v>1433</v>
      </c>
      <c r="P5" s="13" t="s">
        <v>1513</v>
      </c>
      <c r="Q5" s="13">
        <v>5</v>
      </c>
      <c r="R5" s="13" t="s">
        <v>1364</v>
      </c>
    </row>
    <row r="6" spans="1:19" s="13" customFormat="1" ht="31" customHeight="1" x14ac:dyDescent="0.2">
      <c r="A6" s="2">
        <v>5</v>
      </c>
      <c r="B6" s="2" t="s">
        <v>1338</v>
      </c>
      <c r="C6" s="2" t="s">
        <v>29</v>
      </c>
      <c r="D6" s="13">
        <v>7.6299400000000004</v>
      </c>
      <c r="E6" s="13">
        <v>46.287300000000002</v>
      </c>
      <c r="F6" s="2" t="s">
        <v>543</v>
      </c>
      <c r="G6" s="2" t="s">
        <v>11</v>
      </c>
      <c r="H6" s="2" t="s">
        <v>12</v>
      </c>
      <c r="I6" s="2" t="s">
        <v>1345</v>
      </c>
      <c r="J6" s="2" t="s">
        <v>13</v>
      </c>
      <c r="K6" s="2">
        <v>200</v>
      </c>
      <c r="L6" s="2">
        <v>0.09</v>
      </c>
      <c r="M6" s="2" t="s">
        <v>1445</v>
      </c>
      <c r="N6" s="2" t="s">
        <v>1119</v>
      </c>
      <c r="O6" s="2" t="s">
        <v>1395</v>
      </c>
      <c r="P6" s="13" t="s">
        <v>1514</v>
      </c>
      <c r="Q6" s="13">
        <v>4</v>
      </c>
      <c r="R6" s="13" t="s">
        <v>1364</v>
      </c>
    </row>
    <row r="7" spans="1:19" s="13" customFormat="1" ht="31" customHeight="1" x14ac:dyDescent="0.2">
      <c r="A7" s="2">
        <v>6</v>
      </c>
      <c r="B7" s="2" t="s">
        <v>1338</v>
      </c>
      <c r="C7" s="2" t="s">
        <v>29</v>
      </c>
      <c r="D7" s="13">
        <v>7.6299400000000004</v>
      </c>
      <c r="E7" s="13">
        <v>46.287300000000002</v>
      </c>
      <c r="F7" s="2" t="s">
        <v>543</v>
      </c>
      <c r="G7" s="2" t="s">
        <v>11</v>
      </c>
      <c r="H7" s="2" t="s">
        <v>12</v>
      </c>
      <c r="I7" s="2" t="s">
        <v>1345</v>
      </c>
      <c r="J7" s="2" t="s">
        <v>13</v>
      </c>
      <c r="K7" s="2">
        <v>200</v>
      </c>
      <c r="L7" s="2">
        <v>0.09</v>
      </c>
      <c r="M7" s="2" t="s">
        <v>1120</v>
      </c>
      <c r="N7" s="2" t="s">
        <v>1121</v>
      </c>
      <c r="O7" s="2" t="s">
        <v>1395</v>
      </c>
      <c r="P7" s="13" t="s">
        <v>1513</v>
      </c>
      <c r="Q7" s="13">
        <v>2</v>
      </c>
      <c r="R7" s="13" t="s">
        <v>1364</v>
      </c>
    </row>
    <row r="8" spans="1:19" s="13" customFormat="1" ht="31" customHeight="1" x14ac:dyDescent="0.2">
      <c r="A8" s="2">
        <v>7</v>
      </c>
      <c r="B8" s="2" t="s">
        <v>1338</v>
      </c>
      <c r="C8" s="2" t="s">
        <v>29</v>
      </c>
      <c r="D8" s="13">
        <v>7.6299400000000004</v>
      </c>
      <c r="E8" s="13">
        <v>46.287300000000002</v>
      </c>
      <c r="F8" s="2" t="s">
        <v>543</v>
      </c>
      <c r="G8" s="2" t="s">
        <v>11</v>
      </c>
      <c r="H8" s="2" t="s">
        <v>12</v>
      </c>
      <c r="I8" s="2" t="s">
        <v>1345</v>
      </c>
      <c r="J8" s="2" t="s">
        <v>13</v>
      </c>
      <c r="K8" s="2">
        <v>200</v>
      </c>
      <c r="L8" s="2">
        <v>0.09</v>
      </c>
      <c r="M8" s="2" t="s">
        <v>1122</v>
      </c>
      <c r="N8" s="2" t="s">
        <v>1123</v>
      </c>
      <c r="O8" s="2" t="s">
        <v>1395</v>
      </c>
      <c r="P8" s="13" t="s">
        <v>1515</v>
      </c>
      <c r="Q8" s="13">
        <v>5</v>
      </c>
      <c r="R8" s="13" t="s">
        <v>1364</v>
      </c>
    </row>
    <row r="9" spans="1:19" s="13" customFormat="1" ht="31" customHeight="1" x14ac:dyDescent="0.2">
      <c r="A9" s="2">
        <v>8</v>
      </c>
      <c r="B9" s="2" t="s">
        <v>1338</v>
      </c>
      <c r="C9" s="2" t="s">
        <v>29</v>
      </c>
      <c r="D9" s="13">
        <v>7.6299400000000004</v>
      </c>
      <c r="E9" s="13">
        <v>46.287300000000002</v>
      </c>
      <c r="F9" s="2" t="s">
        <v>543</v>
      </c>
      <c r="G9" s="2" t="s">
        <v>11</v>
      </c>
      <c r="H9" s="2" t="s">
        <v>12</v>
      </c>
      <c r="I9" s="2" t="s">
        <v>1345</v>
      </c>
      <c r="J9" s="2" t="s">
        <v>13</v>
      </c>
      <c r="K9" s="2">
        <v>200</v>
      </c>
      <c r="L9" s="2">
        <v>0.09</v>
      </c>
      <c r="M9" s="2" t="s">
        <v>1405</v>
      </c>
      <c r="N9" s="2" t="s">
        <v>1124</v>
      </c>
      <c r="O9" s="2" t="s">
        <v>1395</v>
      </c>
      <c r="P9" s="13" t="s">
        <v>1514</v>
      </c>
      <c r="Q9" s="13">
        <v>6</v>
      </c>
      <c r="R9" s="13" t="s">
        <v>1364</v>
      </c>
    </row>
    <row r="10" spans="1:19" s="13" customFormat="1" ht="31" customHeight="1" x14ac:dyDescent="0.2">
      <c r="A10" s="2">
        <v>9</v>
      </c>
      <c r="B10" s="2" t="s">
        <v>1338</v>
      </c>
      <c r="C10" s="2" t="s">
        <v>29</v>
      </c>
      <c r="D10" s="13">
        <v>7.6299400000000004</v>
      </c>
      <c r="E10" s="13">
        <v>46.287300000000002</v>
      </c>
      <c r="F10" s="2" t="s">
        <v>543</v>
      </c>
      <c r="G10" s="2" t="s">
        <v>11</v>
      </c>
      <c r="H10" s="2" t="s">
        <v>12</v>
      </c>
      <c r="I10" s="2" t="s">
        <v>1345</v>
      </c>
      <c r="J10" s="2" t="s">
        <v>13</v>
      </c>
      <c r="K10" s="2">
        <v>200</v>
      </c>
      <c r="L10" s="2">
        <v>0.09</v>
      </c>
      <c r="M10" s="2" t="s">
        <v>1125</v>
      </c>
      <c r="N10" s="2" t="s">
        <v>1126</v>
      </c>
      <c r="O10" s="2" t="s">
        <v>1395</v>
      </c>
      <c r="P10" s="13" t="s">
        <v>1515</v>
      </c>
      <c r="Q10" s="13">
        <v>4</v>
      </c>
      <c r="R10" s="13" t="s">
        <v>1364</v>
      </c>
    </row>
    <row r="11" spans="1:19" s="13" customFormat="1" ht="31" customHeight="1" x14ac:dyDescent="0.2">
      <c r="A11" s="2">
        <v>10</v>
      </c>
      <c r="B11" s="2" t="s">
        <v>1338</v>
      </c>
      <c r="C11" s="2" t="s">
        <v>29</v>
      </c>
      <c r="D11" s="13">
        <v>7.6299400000000004</v>
      </c>
      <c r="E11" s="13">
        <v>46.287300000000002</v>
      </c>
      <c r="F11" s="2" t="s">
        <v>543</v>
      </c>
      <c r="G11" s="2" t="s">
        <v>11</v>
      </c>
      <c r="H11" s="2" t="s">
        <v>12</v>
      </c>
      <c r="I11" s="2" t="s">
        <v>1345</v>
      </c>
      <c r="J11" s="2" t="s">
        <v>13</v>
      </c>
      <c r="K11" s="2">
        <v>200</v>
      </c>
      <c r="L11" s="2">
        <v>0.09</v>
      </c>
      <c r="M11" s="2" t="s">
        <v>1127</v>
      </c>
      <c r="N11" s="2" t="s">
        <v>1128</v>
      </c>
      <c r="O11" s="2" t="s">
        <v>1394</v>
      </c>
      <c r="P11" s="13" t="s">
        <v>1513</v>
      </c>
      <c r="Q11" s="13">
        <v>1</v>
      </c>
      <c r="R11" s="13" t="s">
        <v>1364</v>
      </c>
    </row>
    <row r="12" spans="1:19" s="13" customFormat="1" ht="31" customHeight="1" x14ac:dyDescent="0.2">
      <c r="A12" s="2">
        <v>11</v>
      </c>
      <c r="B12" s="2" t="s">
        <v>1338</v>
      </c>
      <c r="C12" s="2" t="s">
        <v>29</v>
      </c>
      <c r="D12" s="13">
        <v>7.6299400000000004</v>
      </c>
      <c r="E12" s="13">
        <v>46.287300000000002</v>
      </c>
      <c r="F12" s="2" t="s">
        <v>543</v>
      </c>
      <c r="G12" s="2" t="s">
        <v>11</v>
      </c>
      <c r="H12" s="2" t="s">
        <v>12</v>
      </c>
      <c r="I12" s="2" t="s">
        <v>1345</v>
      </c>
      <c r="J12" s="2" t="s">
        <v>13</v>
      </c>
      <c r="K12" s="2">
        <v>200</v>
      </c>
      <c r="L12" s="2">
        <v>0.09</v>
      </c>
      <c r="M12" s="2" t="s">
        <v>1446</v>
      </c>
      <c r="N12" s="2" t="s">
        <v>1447</v>
      </c>
      <c r="O12" s="2" t="s">
        <v>1395</v>
      </c>
      <c r="P12" s="13" t="s">
        <v>1513</v>
      </c>
      <c r="Q12" s="13">
        <v>1</v>
      </c>
      <c r="R12" s="13" t="s">
        <v>1364</v>
      </c>
    </row>
    <row r="13" spans="1:19" s="13" customFormat="1" ht="31" customHeight="1" x14ac:dyDescent="0.2">
      <c r="A13" s="2">
        <v>12</v>
      </c>
      <c r="B13" s="2" t="s">
        <v>1338</v>
      </c>
      <c r="C13" s="2" t="s">
        <v>29</v>
      </c>
      <c r="D13" s="13">
        <v>7.6299400000000004</v>
      </c>
      <c r="E13" s="13">
        <v>46.287300000000002</v>
      </c>
      <c r="F13" s="2" t="s">
        <v>543</v>
      </c>
      <c r="G13" s="2" t="s">
        <v>11</v>
      </c>
      <c r="H13" s="2" t="s">
        <v>12</v>
      </c>
      <c r="I13" s="2" t="s">
        <v>1345</v>
      </c>
      <c r="J13" s="2" t="s">
        <v>13</v>
      </c>
      <c r="K13" s="2">
        <v>200</v>
      </c>
      <c r="L13" s="2">
        <v>0.09</v>
      </c>
      <c r="M13" s="2" t="s">
        <v>1129</v>
      </c>
      <c r="N13" s="2" t="s">
        <v>1434</v>
      </c>
      <c r="O13" s="2" t="s">
        <v>1441</v>
      </c>
      <c r="P13" s="13" t="s">
        <v>1514</v>
      </c>
      <c r="Q13" s="13">
        <v>2</v>
      </c>
      <c r="R13" s="13" t="s">
        <v>1364</v>
      </c>
    </row>
    <row r="14" spans="1:19" s="13" customFormat="1" ht="31" customHeight="1" x14ac:dyDescent="0.2">
      <c r="A14" s="2">
        <v>13</v>
      </c>
      <c r="B14" s="2" t="s">
        <v>1338</v>
      </c>
      <c r="C14" s="2" t="s">
        <v>29</v>
      </c>
      <c r="D14" s="13">
        <v>7.6299400000000004</v>
      </c>
      <c r="E14" s="13">
        <v>46.287300000000002</v>
      </c>
      <c r="F14" s="2" t="s">
        <v>543</v>
      </c>
      <c r="G14" s="2" t="s">
        <v>11</v>
      </c>
      <c r="H14" s="2" t="s">
        <v>12</v>
      </c>
      <c r="I14" s="2" t="s">
        <v>1345</v>
      </c>
      <c r="J14" s="2" t="s">
        <v>13</v>
      </c>
      <c r="K14" s="2">
        <v>200</v>
      </c>
      <c r="L14" s="2">
        <v>0.09</v>
      </c>
      <c r="M14" s="2" t="s">
        <v>1434</v>
      </c>
      <c r="N14" s="2" t="s">
        <v>1406</v>
      </c>
      <c r="O14" s="2" t="s">
        <v>1442</v>
      </c>
      <c r="P14" s="13" t="s">
        <v>1515</v>
      </c>
      <c r="Q14" s="13">
        <v>4</v>
      </c>
      <c r="R14" s="13" t="s">
        <v>1364</v>
      </c>
    </row>
    <row r="15" spans="1:19" s="13" customFormat="1" ht="31" customHeight="1" x14ac:dyDescent="0.2">
      <c r="A15" s="2">
        <v>14</v>
      </c>
      <c r="B15" s="2" t="s">
        <v>1338</v>
      </c>
      <c r="C15" s="2" t="s">
        <v>29</v>
      </c>
      <c r="D15" s="13">
        <v>7.6299400000000004</v>
      </c>
      <c r="E15" s="13">
        <v>46.287300000000002</v>
      </c>
      <c r="F15" s="2" t="s">
        <v>543</v>
      </c>
      <c r="G15" s="2" t="s">
        <v>11</v>
      </c>
      <c r="H15" s="2" t="s">
        <v>12</v>
      </c>
      <c r="I15" s="2" t="s">
        <v>1345</v>
      </c>
      <c r="J15" s="2" t="s">
        <v>13</v>
      </c>
      <c r="K15" s="2">
        <v>200</v>
      </c>
      <c r="L15" s="2">
        <v>0.09</v>
      </c>
      <c r="M15" s="2" t="s">
        <v>1130</v>
      </c>
      <c r="N15" s="2" t="s">
        <v>1407</v>
      </c>
      <c r="O15" s="2" t="s">
        <v>1395</v>
      </c>
      <c r="P15" s="13" t="s">
        <v>1513</v>
      </c>
      <c r="Q15" s="13">
        <v>2</v>
      </c>
      <c r="R15" s="13" t="s">
        <v>1364</v>
      </c>
    </row>
    <row r="16" spans="1:19" s="13" customFormat="1" ht="31" customHeight="1" x14ac:dyDescent="0.2">
      <c r="A16" s="2">
        <v>15</v>
      </c>
      <c r="B16" s="2" t="s">
        <v>1338</v>
      </c>
      <c r="C16" s="2" t="s">
        <v>29</v>
      </c>
      <c r="D16" s="13">
        <v>7.6299400000000004</v>
      </c>
      <c r="E16" s="13">
        <v>46.287300000000002</v>
      </c>
      <c r="F16" s="2" t="s">
        <v>543</v>
      </c>
      <c r="G16" s="2" t="s">
        <v>11</v>
      </c>
      <c r="H16" s="2" t="s">
        <v>12</v>
      </c>
      <c r="I16" s="2" t="s">
        <v>1345</v>
      </c>
      <c r="J16" s="2" t="s">
        <v>13</v>
      </c>
      <c r="K16" s="2">
        <v>200</v>
      </c>
      <c r="L16" s="2">
        <v>0.09</v>
      </c>
      <c r="M16" s="2" t="s">
        <v>1131</v>
      </c>
      <c r="N16" s="2" t="s">
        <v>1132</v>
      </c>
      <c r="O16" s="2" t="s">
        <v>1395</v>
      </c>
      <c r="P16" s="13" t="s">
        <v>1513</v>
      </c>
      <c r="Q16" s="13">
        <v>5</v>
      </c>
      <c r="R16" s="13" t="s">
        <v>1364</v>
      </c>
    </row>
    <row r="17" spans="1:18" s="13" customFormat="1" ht="31" customHeight="1" x14ac:dyDescent="0.2">
      <c r="A17" s="2">
        <v>16</v>
      </c>
      <c r="B17" s="2" t="s">
        <v>1338</v>
      </c>
      <c r="C17" s="2" t="s">
        <v>29</v>
      </c>
      <c r="D17" s="13">
        <v>7.6299400000000004</v>
      </c>
      <c r="E17" s="13">
        <v>46.287300000000002</v>
      </c>
      <c r="F17" s="2" t="s">
        <v>543</v>
      </c>
      <c r="G17" s="2" t="s">
        <v>11</v>
      </c>
      <c r="H17" s="2" t="s">
        <v>12</v>
      </c>
      <c r="I17" s="2" t="s">
        <v>1345</v>
      </c>
      <c r="J17" s="2" t="s">
        <v>13</v>
      </c>
      <c r="K17" s="2">
        <v>200</v>
      </c>
      <c r="L17" s="2">
        <v>0.09</v>
      </c>
      <c r="M17" s="2" t="s">
        <v>1449</v>
      </c>
      <c r="N17" s="2" t="s">
        <v>1448</v>
      </c>
      <c r="O17" s="2" t="s">
        <v>1395</v>
      </c>
      <c r="P17" s="13" t="s">
        <v>1513</v>
      </c>
      <c r="Q17" s="13">
        <v>1</v>
      </c>
      <c r="R17" s="13" t="s">
        <v>1364</v>
      </c>
    </row>
    <row r="18" spans="1:18" s="13" customFormat="1" ht="31" customHeight="1" x14ac:dyDescent="0.2">
      <c r="A18" s="2">
        <v>17</v>
      </c>
      <c r="B18" s="2" t="s">
        <v>1338</v>
      </c>
      <c r="C18" s="2" t="s">
        <v>29</v>
      </c>
      <c r="D18" s="13">
        <v>7.6299400000000004</v>
      </c>
      <c r="E18" s="13">
        <v>46.287300000000002</v>
      </c>
      <c r="F18" s="2" t="s">
        <v>543</v>
      </c>
      <c r="G18" s="2" t="s">
        <v>11</v>
      </c>
      <c r="H18" s="2" t="s">
        <v>12</v>
      </c>
      <c r="I18" s="2" t="s">
        <v>1345</v>
      </c>
      <c r="J18" s="2" t="s">
        <v>13</v>
      </c>
      <c r="K18" s="2">
        <v>200</v>
      </c>
      <c r="L18" s="2">
        <v>0.09</v>
      </c>
      <c r="M18" s="2" t="s">
        <v>1428</v>
      </c>
      <c r="N18" s="2" t="s">
        <v>1133</v>
      </c>
      <c r="O18" s="2" t="s">
        <v>1394</v>
      </c>
      <c r="P18" s="13" t="s">
        <v>1513</v>
      </c>
      <c r="Q18" s="13">
        <v>5</v>
      </c>
      <c r="R18" s="13" t="s">
        <v>1364</v>
      </c>
    </row>
    <row r="19" spans="1:18" s="13" customFormat="1" ht="31" customHeight="1" x14ac:dyDescent="0.2">
      <c r="A19" s="1">
        <v>18</v>
      </c>
      <c r="B19" s="2" t="s">
        <v>1338</v>
      </c>
      <c r="C19" s="2" t="s">
        <v>29</v>
      </c>
      <c r="D19" s="13">
        <v>7.6299400000000004</v>
      </c>
      <c r="E19" s="13">
        <v>46.287300000000002</v>
      </c>
      <c r="F19" s="2" t="s">
        <v>543</v>
      </c>
      <c r="G19" s="2" t="s">
        <v>11</v>
      </c>
      <c r="H19" s="2" t="s">
        <v>12</v>
      </c>
      <c r="I19" s="2" t="s">
        <v>1345</v>
      </c>
      <c r="J19" s="2" t="s">
        <v>13</v>
      </c>
      <c r="K19" s="2">
        <v>200</v>
      </c>
      <c r="L19" s="2">
        <v>0.09</v>
      </c>
      <c r="M19" s="2" t="s">
        <v>1134</v>
      </c>
      <c r="N19" s="2" t="s">
        <v>1450</v>
      </c>
      <c r="O19" s="2" t="s">
        <v>1394</v>
      </c>
      <c r="P19" s="13" t="s">
        <v>1513</v>
      </c>
      <c r="Q19" s="13">
        <v>1</v>
      </c>
      <c r="R19" s="13" t="s">
        <v>1364</v>
      </c>
    </row>
    <row r="20" spans="1:18" s="13" customFormat="1" ht="31" customHeight="1" x14ac:dyDescent="0.2">
      <c r="A20" s="2">
        <v>19</v>
      </c>
      <c r="B20" s="2" t="s">
        <v>1338</v>
      </c>
      <c r="C20" s="2" t="s">
        <v>29</v>
      </c>
      <c r="D20" s="13">
        <v>7.6299400000000004</v>
      </c>
      <c r="E20" s="13">
        <v>46.287300000000002</v>
      </c>
      <c r="F20" s="2" t="s">
        <v>543</v>
      </c>
      <c r="G20" s="2" t="s">
        <v>11</v>
      </c>
      <c r="H20" s="2" t="s">
        <v>12</v>
      </c>
      <c r="I20" s="2" t="s">
        <v>1345</v>
      </c>
      <c r="J20" s="2" t="s">
        <v>13</v>
      </c>
      <c r="K20" s="2">
        <v>200</v>
      </c>
      <c r="L20" s="2">
        <v>0.09</v>
      </c>
      <c r="M20" s="2" t="s">
        <v>1135</v>
      </c>
      <c r="N20" s="2" t="s">
        <v>1435</v>
      </c>
      <c r="O20" s="2" t="s">
        <v>1438</v>
      </c>
      <c r="P20" s="13" t="s">
        <v>1513</v>
      </c>
      <c r="Q20" s="13">
        <v>5</v>
      </c>
      <c r="R20" s="13" t="s">
        <v>1364</v>
      </c>
    </row>
    <row r="21" spans="1:18" s="13" customFormat="1" ht="31" customHeight="1" x14ac:dyDescent="0.2">
      <c r="A21" s="2">
        <v>20</v>
      </c>
      <c r="B21" s="2" t="s">
        <v>1338</v>
      </c>
      <c r="C21" s="2" t="s">
        <v>29</v>
      </c>
      <c r="D21" s="13">
        <v>7.6299400000000004</v>
      </c>
      <c r="E21" s="13">
        <v>46.287300000000002</v>
      </c>
      <c r="F21" s="2" t="s">
        <v>543</v>
      </c>
      <c r="G21" s="2" t="s">
        <v>11</v>
      </c>
      <c r="H21" s="2" t="s">
        <v>12</v>
      </c>
      <c r="I21" s="2" t="s">
        <v>1345</v>
      </c>
      <c r="J21" s="2" t="s">
        <v>13</v>
      </c>
      <c r="K21" s="2">
        <v>200</v>
      </c>
      <c r="L21" s="2">
        <v>0.09</v>
      </c>
      <c r="M21" s="2" t="s">
        <v>1435</v>
      </c>
      <c r="N21" s="2" t="s">
        <v>1451</v>
      </c>
      <c r="O21" s="2" t="s">
        <v>1439</v>
      </c>
      <c r="P21" s="13" t="s">
        <v>1513</v>
      </c>
      <c r="Q21" s="13">
        <v>1</v>
      </c>
      <c r="R21" s="13" t="s">
        <v>1364</v>
      </c>
    </row>
    <row r="22" spans="1:18" s="13" customFormat="1" ht="31" customHeight="1" x14ac:dyDescent="0.2">
      <c r="A22" s="2">
        <v>21</v>
      </c>
      <c r="B22" s="2" t="s">
        <v>1338</v>
      </c>
      <c r="C22" s="2" t="s">
        <v>29</v>
      </c>
      <c r="D22" s="13">
        <v>7.6299400000000004</v>
      </c>
      <c r="E22" s="13">
        <v>46.287300000000002</v>
      </c>
      <c r="F22" s="2" t="s">
        <v>543</v>
      </c>
      <c r="G22" s="2" t="s">
        <v>11</v>
      </c>
      <c r="H22" s="2" t="s">
        <v>12</v>
      </c>
      <c r="I22" s="2" t="s">
        <v>1345</v>
      </c>
      <c r="J22" s="2" t="s">
        <v>13</v>
      </c>
      <c r="K22" s="2">
        <v>200</v>
      </c>
      <c r="L22" s="2">
        <v>0.09</v>
      </c>
      <c r="M22" s="2" t="s">
        <v>1136</v>
      </c>
      <c r="N22" s="2" t="s">
        <v>1408</v>
      </c>
      <c r="O22" s="2" t="s">
        <v>1394</v>
      </c>
      <c r="P22" s="13" t="s">
        <v>1513</v>
      </c>
      <c r="Q22" s="13">
        <v>2</v>
      </c>
      <c r="R22" s="13" t="s">
        <v>1364</v>
      </c>
    </row>
    <row r="23" spans="1:18" s="13" customFormat="1" ht="31" customHeight="1" x14ac:dyDescent="0.2">
      <c r="A23" s="2">
        <v>22</v>
      </c>
      <c r="B23" s="2" t="s">
        <v>1338</v>
      </c>
      <c r="C23" s="2" t="s">
        <v>29</v>
      </c>
      <c r="D23" s="13">
        <v>7.6299400000000004</v>
      </c>
      <c r="E23" s="13">
        <v>46.287300000000002</v>
      </c>
      <c r="F23" s="2" t="s">
        <v>543</v>
      </c>
      <c r="G23" s="2" t="s">
        <v>11</v>
      </c>
      <c r="H23" s="2" t="s">
        <v>12</v>
      </c>
      <c r="I23" s="2" t="s">
        <v>1345</v>
      </c>
      <c r="J23" s="2" t="s">
        <v>13</v>
      </c>
      <c r="K23" s="2">
        <v>200</v>
      </c>
      <c r="L23" s="2">
        <v>0.09</v>
      </c>
      <c r="M23" s="2" t="s">
        <v>1137</v>
      </c>
      <c r="N23" s="2" t="s">
        <v>1409</v>
      </c>
      <c r="O23" s="2" t="s">
        <v>1438</v>
      </c>
      <c r="P23" s="13" t="s">
        <v>1513</v>
      </c>
      <c r="Q23" s="13">
        <v>4</v>
      </c>
      <c r="R23" s="13" t="s">
        <v>1364</v>
      </c>
    </row>
    <row r="24" spans="1:18" s="13" customFormat="1" ht="31" customHeight="1" x14ac:dyDescent="0.2">
      <c r="A24" s="2">
        <v>23</v>
      </c>
      <c r="B24" s="2" t="s">
        <v>1338</v>
      </c>
      <c r="C24" s="2" t="s">
        <v>29</v>
      </c>
      <c r="D24" s="13">
        <v>7.6299400000000004</v>
      </c>
      <c r="E24" s="13">
        <v>46.287300000000002</v>
      </c>
      <c r="F24" s="2" t="s">
        <v>543</v>
      </c>
      <c r="G24" s="2" t="s">
        <v>11</v>
      </c>
      <c r="H24" s="2" t="s">
        <v>12</v>
      </c>
      <c r="I24" s="2" t="s">
        <v>1345</v>
      </c>
      <c r="J24" s="2" t="s">
        <v>13</v>
      </c>
      <c r="K24" s="2">
        <v>200</v>
      </c>
      <c r="L24" s="2">
        <v>0.09</v>
      </c>
      <c r="M24" s="2" t="s">
        <v>1452</v>
      </c>
      <c r="N24" s="2" t="s">
        <v>1493</v>
      </c>
      <c r="O24" s="2" t="s">
        <v>1439</v>
      </c>
      <c r="P24" s="13" t="s">
        <v>1513</v>
      </c>
      <c r="Q24" s="13">
        <v>6</v>
      </c>
      <c r="R24" s="13" t="s">
        <v>1364</v>
      </c>
    </row>
    <row r="25" spans="1:18" s="13" customFormat="1" ht="31" customHeight="1" x14ac:dyDescent="0.2">
      <c r="A25" s="2">
        <v>24</v>
      </c>
      <c r="B25" s="2" t="s">
        <v>1338</v>
      </c>
      <c r="C25" s="2" t="s">
        <v>29</v>
      </c>
      <c r="D25" s="13">
        <v>7.6299400000000004</v>
      </c>
      <c r="E25" s="13">
        <v>46.287300000000002</v>
      </c>
      <c r="F25" s="2" t="s">
        <v>543</v>
      </c>
      <c r="G25" s="2" t="s">
        <v>11</v>
      </c>
      <c r="H25" s="2" t="s">
        <v>12</v>
      </c>
      <c r="I25" s="2" t="s">
        <v>1345</v>
      </c>
      <c r="J25" s="2" t="s">
        <v>13</v>
      </c>
      <c r="K25" s="2">
        <v>200</v>
      </c>
      <c r="L25" s="2">
        <v>0.09</v>
      </c>
      <c r="M25" s="2" t="s">
        <v>1493</v>
      </c>
      <c r="N25" s="2" t="s">
        <v>1138</v>
      </c>
      <c r="O25" s="2" t="s">
        <v>1440</v>
      </c>
      <c r="P25" s="13" t="s">
        <v>1513</v>
      </c>
      <c r="Q25" s="13">
        <v>4</v>
      </c>
      <c r="R25" s="13" t="s">
        <v>1364</v>
      </c>
    </row>
    <row r="26" spans="1:18" s="13" customFormat="1" ht="31" customHeight="1" x14ac:dyDescent="0.2">
      <c r="A26" s="2">
        <v>25</v>
      </c>
      <c r="B26" s="2" t="s">
        <v>1338</v>
      </c>
      <c r="C26" s="2" t="s">
        <v>29</v>
      </c>
      <c r="D26" s="13">
        <v>7.6299400000000004</v>
      </c>
      <c r="E26" s="13">
        <v>46.287300000000002</v>
      </c>
      <c r="F26" s="2" t="s">
        <v>543</v>
      </c>
      <c r="G26" s="2" t="s">
        <v>11</v>
      </c>
      <c r="H26" s="2" t="s">
        <v>12</v>
      </c>
      <c r="I26" s="2" t="s">
        <v>1345</v>
      </c>
      <c r="J26" s="2" t="s">
        <v>13</v>
      </c>
      <c r="K26" s="2">
        <v>200</v>
      </c>
      <c r="L26" s="2">
        <v>0.09</v>
      </c>
      <c r="M26" s="2" t="s">
        <v>1139</v>
      </c>
      <c r="N26" s="2" t="s">
        <v>1140</v>
      </c>
      <c r="O26" s="2" t="s">
        <v>1395</v>
      </c>
      <c r="P26" s="13" t="s">
        <v>1513</v>
      </c>
      <c r="Q26" s="13">
        <v>1</v>
      </c>
      <c r="R26" s="13" t="s">
        <v>1364</v>
      </c>
    </row>
    <row r="27" spans="1:18" s="13" customFormat="1" ht="31" customHeight="1" x14ac:dyDescent="0.2">
      <c r="A27" s="2">
        <v>26</v>
      </c>
      <c r="B27" s="2" t="s">
        <v>1338</v>
      </c>
      <c r="C27" s="2" t="s">
        <v>29</v>
      </c>
      <c r="D27" s="13">
        <v>7.6299400000000004</v>
      </c>
      <c r="E27" s="13">
        <v>46.287300000000002</v>
      </c>
      <c r="F27" s="2" t="s">
        <v>543</v>
      </c>
      <c r="G27" s="2" t="s">
        <v>11</v>
      </c>
      <c r="H27" s="2" t="s">
        <v>12</v>
      </c>
      <c r="I27" s="2" t="s">
        <v>1345</v>
      </c>
      <c r="J27" s="2" t="s">
        <v>13</v>
      </c>
      <c r="K27" s="2">
        <v>200</v>
      </c>
      <c r="L27" s="2">
        <v>0.09</v>
      </c>
      <c r="M27" s="2" t="s">
        <v>1141</v>
      </c>
      <c r="N27" s="2" t="s">
        <v>1142</v>
      </c>
      <c r="O27" s="2" t="s">
        <v>1395</v>
      </c>
      <c r="P27" s="13" t="s">
        <v>1513</v>
      </c>
      <c r="Q27" s="13">
        <v>1</v>
      </c>
      <c r="R27" s="13" t="s">
        <v>1364</v>
      </c>
    </row>
    <row r="28" spans="1:18" s="13" customFormat="1" ht="31" customHeight="1" x14ac:dyDescent="0.2">
      <c r="A28" s="2">
        <v>27</v>
      </c>
      <c r="B28" s="2" t="s">
        <v>1338</v>
      </c>
      <c r="C28" s="2" t="s">
        <v>29</v>
      </c>
      <c r="D28" s="13">
        <v>7.6299400000000004</v>
      </c>
      <c r="E28" s="13">
        <v>46.287300000000002</v>
      </c>
      <c r="F28" s="2" t="s">
        <v>543</v>
      </c>
      <c r="G28" s="2" t="s">
        <v>11</v>
      </c>
      <c r="H28" s="2" t="s">
        <v>12</v>
      </c>
      <c r="I28" s="2" t="s">
        <v>1345</v>
      </c>
      <c r="J28" s="2" t="s">
        <v>13</v>
      </c>
      <c r="K28" s="2">
        <v>200</v>
      </c>
      <c r="L28" s="2">
        <v>0.09</v>
      </c>
      <c r="M28" s="2" t="s">
        <v>1410</v>
      </c>
      <c r="N28" s="2" t="s">
        <v>1143</v>
      </c>
      <c r="O28" s="2" t="s">
        <v>1395</v>
      </c>
      <c r="P28" s="13" t="s">
        <v>1513</v>
      </c>
      <c r="Q28" s="13">
        <v>6</v>
      </c>
      <c r="R28" s="13" t="s">
        <v>1364</v>
      </c>
    </row>
    <row r="29" spans="1:18" s="13" customFormat="1" ht="31" customHeight="1" x14ac:dyDescent="0.2">
      <c r="A29" s="2">
        <v>28</v>
      </c>
      <c r="B29" s="2" t="s">
        <v>1338</v>
      </c>
      <c r="C29" s="2" t="s">
        <v>29</v>
      </c>
      <c r="D29" s="13">
        <v>7.6299400000000004</v>
      </c>
      <c r="E29" s="13">
        <v>46.287300000000002</v>
      </c>
      <c r="F29" s="2" t="s">
        <v>543</v>
      </c>
      <c r="G29" s="2" t="s">
        <v>11</v>
      </c>
      <c r="H29" s="2" t="s">
        <v>12</v>
      </c>
      <c r="I29" s="2" t="s">
        <v>1345</v>
      </c>
      <c r="J29" s="2" t="s">
        <v>13</v>
      </c>
      <c r="K29" s="2">
        <v>200</v>
      </c>
      <c r="L29" s="2">
        <v>0.09</v>
      </c>
      <c r="M29" s="2" t="s">
        <v>1411</v>
      </c>
      <c r="N29" s="2" t="s">
        <v>1144</v>
      </c>
      <c r="O29" s="2" t="s">
        <v>1395</v>
      </c>
      <c r="P29" s="13" t="s">
        <v>1514</v>
      </c>
      <c r="Q29" s="13">
        <v>3</v>
      </c>
      <c r="R29" s="13" t="s">
        <v>1364</v>
      </c>
    </row>
    <row r="30" spans="1:18" s="13" customFormat="1" ht="31" customHeight="1" x14ac:dyDescent="0.2">
      <c r="A30" s="2">
        <v>29</v>
      </c>
      <c r="B30" s="2" t="s">
        <v>1338</v>
      </c>
      <c r="C30" s="2" t="s">
        <v>29</v>
      </c>
      <c r="D30" s="13">
        <v>7.6299400000000004</v>
      </c>
      <c r="E30" s="13">
        <v>46.287300000000002</v>
      </c>
      <c r="F30" s="2" t="s">
        <v>543</v>
      </c>
      <c r="G30" s="2" t="s">
        <v>11</v>
      </c>
      <c r="H30" s="2" t="s">
        <v>12</v>
      </c>
      <c r="I30" s="2" t="s">
        <v>1345</v>
      </c>
      <c r="J30" s="2" t="s">
        <v>13</v>
      </c>
      <c r="K30" s="2">
        <v>200</v>
      </c>
      <c r="L30" s="2">
        <v>0.09</v>
      </c>
      <c r="M30" s="2" t="s">
        <v>1145</v>
      </c>
      <c r="N30" s="2" t="s">
        <v>1412</v>
      </c>
      <c r="O30" s="2" t="s">
        <v>1394</v>
      </c>
      <c r="P30" s="13" t="s">
        <v>1513</v>
      </c>
      <c r="Q30" s="13">
        <v>1</v>
      </c>
      <c r="R30" s="13" t="s">
        <v>1364</v>
      </c>
    </row>
    <row r="31" spans="1:18" s="13" customFormat="1" ht="31" customHeight="1" x14ac:dyDescent="0.2">
      <c r="A31" s="2">
        <v>30</v>
      </c>
      <c r="B31" s="2" t="s">
        <v>1338</v>
      </c>
      <c r="C31" s="2" t="s">
        <v>29</v>
      </c>
      <c r="D31" s="13">
        <v>7.6299400000000004</v>
      </c>
      <c r="E31" s="13">
        <v>46.287300000000002</v>
      </c>
      <c r="F31" s="2" t="s">
        <v>436</v>
      </c>
      <c r="G31" s="2" t="s">
        <v>9</v>
      </c>
      <c r="H31" s="2" t="s">
        <v>1148</v>
      </c>
      <c r="I31" s="2" t="s">
        <v>1345</v>
      </c>
      <c r="J31" s="2" t="s">
        <v>14</v>
      </c>
      <c r="K31" s="2">
        <v>100</v>
      </c>
      <c r="L31" s="2">
        <v>0.09</v>
      </c>
      <c r="M31" s="13" t="s">
        <v>1146</v>
      </c>
      <c r="N31" s="13" t="s">
        <v>1147</v>
      </c>
      <c r="O31" s="2" t="s">
        <v>1394</v>
      </c>
      <c r="P31" s="13" t="s">
        <v>1513</v>
      </c>
      <c r="Q31" s="13">
        <v>2</v>
      </c>
      <c r="R31" s="13" t="s">
        <v>1364</v>
      </c>
    </row>
    <row r="32" spans="1:18" s="13" customFormat="1" ht="31" customHeight="1" x14ac:dyDescent="0.2">
      <c r="A32" s="2">
        <v>31</v>
      </c>
      <c r="B32" s="2" t="s">
        <v>1338</v>
      </c>
      <c r="C32" s="2" t="s">
        <v>29</v>
      </c>
      <c r="D32" s="13">
        <v>7.6299400000000004</v>
      </c>
      <c r="E32" s="13">
        <v>46.287300000000002</v>
      </c>
      <c r="F32" s="2" t="s">
        <v>436</v>
      </c>
      <c r="G32" s="2" t="s">
        <v>9</v>
      </c>
      <c r="H32" s="2" t="s">
        <v>1148</v>
      </c>
      <c r="I32" s="2" t="s">
        <v>1345</v>
      </c>
      <c r="J32" s="2" t="s">
        <v>14</v>
      </c>
      <c r="K32" s="2">
        <v>100</v>
      </c>
      <c r="L32" s="2">
        <v>0.09</v>
      </c>
      <c r="M32" s="13" t="s">
        <v>1149</v>
      </c>
      <c r="N32" s="13" t="s">
        <v>1378</v>
      </c>
      <c r="O32" s="2" t="s">
        <v>1394</v>
      </c>
      <c r="P32" s="13" t="s">
        <v>1513</v>
      </c>
      <c r="Q32" s="13">
        <v>5</v>
      </c>
      <c r="R32" s="13" t="s">
        <v>1364</v>
      </c>
    </row>
    <row r="33" spans="1:18" s="13" customFormat="1" ht="31" customHeight="1" x14ac:dyDescent="0.2">
      <c r="A33" s="2">
        <v>32</v>
      </c>
      <c r="B33" s="2" t="s">
        <v>1338</v>
      </c>
      <c r="C33" s="2" t="s">
        <v>29</v>
      </c>
      <c r="D33" s="13">
        <v>7.6299400000000004</v>
      </c>
      <c r="E33" s="13">
        <v>46.287300000000002</v>
      </c>
      <c r="F33" s="2" t="s">
        <v>436</v>
      </c>
      <c r="G33" s="2" t="s">
        <v>9</v>
      </c>
      <c r="H33" s="2" t="s">
        <v>1148</v>
      </c>
      <c r="I33" s="2" t="s">
        <v>1345</v>
      </c>
      <c r="J33" s="2" t="s">
        <v>14</v>
      </c>
      <c r="K33" s="2">
        <v>100</v>
      </c>
      <c r="L33" s="2">
        <v>0.09</v>
      </c>
      <c r="M33" s="13" t="s">
        <v>1379</v>
      </c>
      <c r="N33" s="13" t="s">
        <v>1380</v>
      </c>
      <c r="O33" s="2" t="s">
        <v>1394</v>
      </c>
      <c r="P33" s="13" t="s">
        <v>1513</v>
      </c>
      <c r="Q33" s="13">
        <v>2</v>
      </c>
      <c r="R33" s="13" t="s">
        <v>1364</v>
      </c>
    </row>
    <row r="34" spans="1:18" s="13" customFormat="1" ht="31" customHeight="1" x14ac:dyDescent="0.2">
      <c r="A34" s="2">
        <v>33</v>
      </c>
      <c r="B34" s="2" t="s">
        <v>1338</v>
      </c>
      <c r="C34" s="2" t="s">
        <v>29</v>
      </c>
      <c r="D34" s="13">
        <v>7.6299400000000004</v>
      </c>
      <c r="E34" s="13">
        <v>46.287300000000002</v>
      </c>
      <c r="F34" s="2" t="s">
        <v>436</v>
      </c>
      <c r="G34" s="2" t="s">
        <v>9</v>
      </c>
      <c r="H34" s="2" t="s">
        <v>1148</v>
      </c>
      <c r="I34" s="2" t="s">
        <v>1345</v>
      </c>
      <c r="J34" s="2" t="s">
        <v>14</v>
      </c>
      <c r="K34" s="2">
        <v>100</v>
      </c>
      <c r="L34" s="2">
        <v>0.09</v>
      </c>
      <c r="M34" s="13" t="s">
        <v>1381</v>
      </c>
      <c r="N34" s="13" t="s">
        <v>1382</v>
      </c>
      <c r="O34" s="2" t="s">
        <v>1394</v>
      </c>
      <c r="P34" s="13" t="s">
        <v>1513</v>
      </c>
      <c r="Q34" s="13">
        <v>1</v>
      </c>
      <c r="R34" s="13" t="s">
        <v>1364</v>
      </c>
    </row>
    <row r="35" spans="1:18" s="13" customFormat="1" ht="31" customHeight="1" x14ac:dyDescent="0.2">
      <c r="A35" s="2">
        <v>34</v>
      </c>
      <c r="B35" s="2" t="s">
        <v>1338</v>
      </c>
      <c r="C35" s="2" t="s">
        <v>29</v>
      </c>
      <c r="D35" s="13">
        <v>7.6299400000000004</v>
      </c>
      <c r="E35" s="13">
        <v>46.287300000000002</v>
      </c>
      <c r="F35" s="2" t="s">
        <v>436</v>
      </c>
      <c r="G35" s="2" t="s">
        <v>9</v>
      </c>
      <c r="H35" s="2" t="s">
        <v>1148</v>
      </c>
      <c r="I35" s="2" t="s">
        <v>1345</v>
      </c>
      <c r="J35" s="2" t="s">
        <v>14</v>
      </c>
      <c r="K35" s="2">
        <v>100</v>
      </c>
      <c r="L35" s="2">
        <v>0.09</v>
      </c>
      <c r="M35" s="13" t="s">
        <v>1150</v>
      </c>
      <c r="N35" s="13" t="s">
        <v>1151</v>
      </c>
      <c r="O35" s="2" t="s">
        <v>1394</v>
      </c>
      <c r="P35" s="13" t="s">
        <v>1513</v>
      </c>
      <c r="Q35" s="13">
        <v>2</v>
      </c>
      <c r="R35" s="13" t="s">
        <v>1364</v>
      </c>
    </row>
    <row r="36" spans="1:18" s="13" customFormat="1" ht="31" customHeight="1" x14ac:dyDescent="0.2">
      <c r="A36" s="2">
        <v>35</v>
      </c>
      <c r="B36" s="2" t="s">
        <v>1338</v>
      </c>
      <c r="C36" s="2" t="s">
        <v>29</v>
      </c>
      <c r="D36" s="13">
        <v>7.6299400000000004</v>
      </c>
      <c r="E36" s="13">
        <v>46.287300000000002</v>
      </c>
      <c r="F36" s="2" t="s">
        <v>436</v>
      </c>
      <c r="G36" s="2" t="s">
        <v>9</v>
      </c>
      <c r="H36" s="2" t="s">
        <v>10</v>
      </c>
      <c r="I36" s="2" t="s">
        <v>1345</v>
      </c>
      <c r="J36" s="2" t="s">
        <v>14</v>
      </c>
      <c r="K36" s="2">
        <v>100</v>
      </c>
      <c r="L36" s="2">
        <v>0.09</v>
      </c>
      <c r="M36" s="13" t="s">
        <v>1152</v>
      </c>
      <c r="N36" s="13" t="s">
        <v>1153</v>
      </c>
      <c r="O36" s="2" t="s">
        <v>1394</v>
      </c>
      <c r="P36" s="13" t="s">
        <v>1513</v>
      </c>
      <c r="Q36" s="13">
        <v>1</v>
      </c>
      <c r="R36" s="13" t="s">
        <v>1364</v>
      </c>
    </row>
    <row r="37" spans="1:18" s="13" customFormat="1" ht="31" customHeight="1" x14ac:dyDescent="0.2">
      <c r="A37" s="2">
        <v>36</v>
      </c>
      <c r="B37" s="2" t="s">
        <v>1338</v>
      </c>
      <c r="C37" s="2" t="s">
        <v>29</v>
      </c>
      <c r="D37" s="13">
        <v>7.6299400000000004</v>
      </c>
      <c r="E37" s="13">
        <v>46.287300000000002</v>
      </c>
      <c r="F37" s="2" t="s">
        <v>436</v>
      </c>
      <c r="G37" s="2" t="s">
        <v>9</v>
      </c>
      <c r="H37" s="2" t="s">
        <v>10</v>
      </c>
      <c r="I37" s="2" t="s">
        <v>1345</v>
      </c>
      <c r="J37" s="2" t="s">
        <v>14</v>
      </c>
      <c r="K37" s="2">
        <v>100</v>
      </c>
      <c r="L37" s="2">
        <v>0.09</v>
      </c>
      <c r="M37" s="13" t="s">
        <v>1154</v>
      </c>
      <c r="N37" s="13" t="s">
        <v>1383</v>
      </c>
      <c r="O37" s="2" t="s">
        <v>1394</v>
      </c>
      <c r="P37" s="13" t="s">
        <v>1513</v>
      </c>
      <c r="Q37" s="13">
        <v>2</v>
      </c>
      <c r="R37" s="13" t="s">
        <v>1364</v>
      </c>
    </row>
    <row r="38" spans="1:18" s="13" customFormat="1" ht="31" customHeight="1" x14ac:dyDescent="0.2">
      <c r="A38" s="2">
        <v>37</v>
      </c>
      <c r="B38" s="2" t="s">
        <v>1338</v>
      </c>
      <c r="C38" s="2" t="s">
        <v>29</v>
      </c>
      <c r="D38" s="13">
        <v>7.6299400000000004</v>
      </c>
      <c r="E38" s="13">
        <v>46.287300000000002</v>
      </c>
      <c r="F38" s="2" t="s">
        <v>436</v>
      </c>
      <c r="G38" s="2" t="s">
        <v>9</v>
      </c>
      <c r="H38" s="2" t="s">
        <v>10</v>
      </c>
      <c r="I38" s="2" t="s">
        <v>1345</v>
      </c>
      <c r="J38" s="2" t="s">
        <v>14</v>
      </c>
      <c r="K38" s="2">
        <v>100</v>
      </c>
      <c r="L38" s="2">
        <v>0.09</v>
      </c>
      <c r="M38" s="13" t="s">
        <v>1453</v>
      </c>
      <c r="N38" s="13" t="s">
        <v>1155</v>
      </c>
      <c r="O38" s="2" t="s">
        <v>1394</v>
      </c>
      <c r="P38" s="13" t="s">
        <v>1513</v>
      </c>
      <c r="Q38" s="13">
        <v>1</v>
      </c>
      <c r="R38" s="13" t="s">
        <v>1364</v>
      </c>
    </row>
    <row r="39" spans="1:18" s="13" customFormat="1" ht="31" customHeight="1" x14ac:dyDescent="0.2">
      <c r="A39" s="2">
        <v>38</v>
      </c>
      <c r="B39" s="2" t="s">
        <v>1338</v>
      </c>
      <c r="C39" s="2" t="s">
        <v>29</v>
      </c>
      <c r="D39" s="13">
        <v>7.6299400000000004</v>
      </c>
      <c r="E39" s="13">
        <v>46.287300000000002</v>
      </c>
      <c r="F39" s="2" t="s">
        <v>436</v>
      </c>
      <c r="G39" s="2" t="s">
        <v>9</v>
      </c>
      <c r="H39" s="2" t="s">
        <v>10</v>
      </c>
      <c r="I39" s="2" t="s">
        <v>1345</v>
      </c>
      <c r="J39" s="2" t="s">
        <v>14</v>
      </c>
      <c r="K39" s="2">
        <v>100</v>
      </c>
      <c r="L39" s="2">
        <v>0.09</v>
      </c>
      <c r="M39" s="13" t="s">
        <v>1156</v>
      </c>
      <c r="N39" s="13" t="s">
        <v>1157</v>
      </c>
      <c r="O39" s="2" t="s">
        <v>1394</v>
      </c>
      <c r="P39" s="13" t="s">
        <v>1513</v>
      </c>
      <c r="Q39" s="13">
        <v>1</v>
      </c>
      <c r="R39" s="13" t="s">
        <v>1364</v>
      </c>
    </row>
    <row r="40" spans="1:18" s="13" customFormat="1" ht="31" customHeight="1" x14ac:dyDescent="0.2">
      <c r="A40" s="2">
        <v>39</v>
      </c>
      <c r="B40" s="2" t="s">
        <v>1338</v>
      </c>
      <c r="C40" s="2" t="s">
        <v>29</v>
      </c>
      <c r="D40" s="13">
        <v>7.6299400000000004</v>
      </c>
      <c r="E40" s="13">
        <v>46.287300000000002</v>
      </c>
      <c r="F40" s="2" t="s">
        <v>436</v>
      </c>
      <c r="G40" s="2" t="s">
        <v>9</v>
      </c>
      <c r="H40" s="2" t="s">
        <v>10</v>
      </c>
      <c r="I40" s="2" t="s">
        <v>1345</v>
      </c>
      <c r="J40" s="2" t="s">
        <v>14</v>
      </c>
      <c r="K40" s="2">
        <v>100</v>
      </c>
      <c r="L40" s="2">
        <v>0.09</v>
      </c>
      <c r="M40" s="13" t="s">
        <v>1454</v>
      </c>
      <c r="N40" s="13" t="s">
        <v>1384</v>
      </c>
      <c r="O40" s="2" t="s">
        <v>1396</v>
      </c>
      <c r="P40" s="13" t="s">
        <v>1513</v>
      </c>
      <c r="Q40" s="13">
        <v>6</v>
      </c>
      <c r="R40" s="13" t="s">
        <v>1364</v>
      </c>
    </row>
    <row r="41" spans="1:18" s="13" customFormat="1" ht="31" customHeight="1" x14ac:dyDescent="0.2">
      <c r="A41" s="2">
        <v>40</v>
      </c>
      <c r="B41" s="2" t="s">
        <v>1338</v>
      </c>
      <c r="C41" s="2" t="s">
        <v>29</v>
      </c>
      <c r="D41" s="13">
        <v>7.6299400000000004</v>
      </c>
      <c r="E41" s="13">
        <v>46.287300000000002</v>
      </c>
      <c r="F41" s="2" t="s">
        <v>436</v>
      </c>
      <c r="G41" s="2" t="s">
        <v>9</v>
      </c>
      <c r="H41" s="2" t="s">
        <v>10</v>
      </c>
      <c r="I41" s="2" t="s">
        <v>1345</v>
      </c>
      <c r="J41" s="2" t="s">
        <v>14</v>
      </c>
      <c r="K41" s="2">
        <v>100</v>
      </c>
      <c r="L41" s="2">
        <v>0.09</v>
      </c>
      <c r="M41" s="13" t="s">
        <v>1385</v>
      </c>
      <c r="N41" s="13" t="s">
        <v>1158</v>
      </c>
      <c r="O41" s="2" t="s">
        <v>1397</v>
      </c>
      <c r="P41" s="13" t="s">
        <v>1513</v>
      </c>
      <c r="Q41" s="13">
        <v>6</v>
      </c>
      <c r="R41" s="13" t="s">
        <v>1364</v>
      </c>
    </row>
    <row r="42" spans="1:18" s="13" customFormat="1" ht="31" customHeight="1" x14ac:dyDescent="0.2">
      <c r="A42" s="2">
        <v>41</v>
      </c>
      <c r="B42" s="2" t="s">
        <v>1338</v>
      </c>
      <c r="C42" s="2" t="s">
        <v>29</v>
      </c>
      <c r="D42" s="13">
        <v>7.6299400000000004</v>
      </c>
      <c r="E42" s="13">
        <v>46.287300000000002</v>
      </c>
      <c r="F42" s="2" t="s">
        <v>436</v>
      </c>
      <c r="G42" s="2" t="s">
        <v>9</v>
      </c>
      <c r="H42" s="2" t="s">
        <v>10</v>
      </c>
      <c r="I42" s="2" t="s">
        <v>1345</v>
      </c>
      <c r="J42" s="2" t="s">
        <v>14</v>
      </c>
      <c r="K42" s="2">
        <v>100</v>
      </c>
      <c r="L42" s="2">
        <v>0.09</v>
      </c>
      <c r="M42" s="13" t="s">
        <v>1159</v>
      </c>
      <c r="N42" s="13" t="s">
        <v>1160</v>
      </c>
      <c r="O42" s="2" t="s">
        <v>1394</v>
      </c>
      <c r="P42" s="13" t="s">
        <v>1513</v>
      </c>
      <c r="Q42" s="13">
        <v>2</v>
      </c>
      <c r="R42" s="13" t="s">
        <v>1364</v>
      </c>
    </row>
    <row r="43" spans="1:18" s="13" customFormat="1" ht="31" customHeight="1" x14ac:dyDescent="0.2">
      <c r="A43" s="2">
        <v>42</v>
      </c>
      <c r="B43" s="2" t="s">
        <v>1338</v>
      </c>
      <c r="C43" s="2" t="s">
        <v>29</v>
      </c>
      <c r="D43" s="13">
        <v>7.6299400000000004</v>
      </c>
      <c r="E43" s="13">
        <v>46.287300000000002</v>
      </c>
      <c r="F43" s="2" t="s">
        <v>436</v>
      </c>
      <c r="G43" s="2" t="s">
        <v>9</v>
      </c>
      <c r="H43" s="2" t="s">
        <v>10</v>
      </c>
      <c r="I43" s="2" t="s">
        <v>1345</v>
      </c>
      <c r="J43" s="2" t="s">
        <v>14</v>
      </c>
      <c r="K43" s="2">
        <v>100</v>
      </c>
      <c r="L43" s="2">
        <v>0.09</v>
      </c>
      <c r="M43" s="13" t="s">
        <v>1161</v>
      </c>
      <c r="N43" s="13" t="s">
        <v>1162</v>
      </c>
      <c r="O43" s="2" t="s">
        <v>1394</v>
      </c>
      <c r="P43" s="13" t="s">
        <v>1513</v>
      </c>
      <c r="Q43" s="13">
        <v>2</v>
      </c>
      <c r="R43" s="13" t="s">
        <v>1364</v>
      </c>
    </row>
    <row r="44" spans="1:18" s="13" customFormat="1" ht="31" customHeight="1" x14ac:dyDescent="0.2">
      <c r="A44" s="2">
        <v>43</v>
      </c>
      <c r="B44" s="2" t="s">
        <v>1338</v>
      </c>
      <c r="C44" s="2" t="s">
        <v>29</v>
      </c>
      <c r="D44" s="13">
        <v>7.6299400000000004</v>
      </c>
      <c r="E44" s="13">
        <v>46.287300000000002</v>
      </c>
      <c r="F44" s="2" t="s">
        <v>436</v>
      </c>
      <c r="G44" s="2" t="s">
        <v>9</v>
      </c>
      <c r="H44" s="2" t="s">
        <v>10</v>
      </c>
      <c r="I44" s="2" t="s">
        <v>1345</v>
      </c>
      <c r="J44" s="2" t="s">
        <v>14</v>
      </c>
      <c r="K44" s="2">
        <v>100</v>
      </c>
      <c r="L44" s="2">
        <v>0.09</v>
      </c>
      <c r="M44" s="13" t="s">
        <v>1163</v>
      </c>
      <c r="N44" s="13" t="s">
        <v>1164</v>
      </c>
      <c r="O44" s="2" t="s">
        <v>1394</v>
      </c>
      <c r="P44" s="13" t="s">
        <v>1513</v>
      </c>
      <c r="Q44" s="13">
        <v>5</v>
      </c>
      <c r="R44" s="13" t="s">
        <v>1364</v>
      </c>
    </row>
    <row r="45" spans="1:18" s="13" customFormat="1" ht="31" customHeight="1" x14ac:dyDescent="0.2">
      <c r="A45" s="2">
        <v>44</v>
      </c>
      <c r="B45" s="2" t="s">
        <v>1338</v>
      </c>
      <c r="C45" s="2" t="s">
        <v>29</v>
      </c>
      <c r="D45" s="13">
        <v>7.6299400000000004</v>
      </c>
      <c r="E45" s="13">
        <v>46.287300000000002</v>
      </c>
      <c r="F45" s="2" t="s">
        <v>436</v>
      </c>
      <c r="G45" s="2" t="s">
        <v>9</v>
      </c>
      <c r="H45" s="2" t="s">
        <v>10</v>
      </c>
      <c r="I45" s="2" t="s">
        <v>1345</v>
      </c>
      <c r="J45" s="2" t="s">
        <v>14</v>
      </c>
      <c r="K45" s="2">
        <v>100</v>
      </c>
      <c r="L45" s="2">
        <v>0.09</v>
      </c>
      <c r="M45" s="13" t="s">
        <v>1165</v>
      </c>
      <c r="N45" s="13" t="s">
        <v>1166</v>
      </c>
      <c r="O45" s="2" t="s">
        <v>1394</v>
      </c>
      <c r="P45" s="13" t="s">
        <v>1513</v>
      </c>
      <c r="Q45" s="13">
        <v>1</v>
      </c>
      <c r="R45" s="13" t="s">
        <v>1364</v>
      </c>
    </row>
    <row r="46" spans="1:18" s="13" customFormat="1" ht="31" customHeight="1" x14ac:dyDescent="0.2">
      <c r="A46" s="2">
        <v>45</v>
      </c>
      <c r="B46" s="2" t="s">
        <v>1338</v>
      </c>
      <c r="C46" s="2" t="s">
        <v>29</v>
      </c>
      <c r="D46" s="13">
        <v>7.6299400000000004</v>
      </c>
      <c r="E46" s="13">
        <v>46.287300000000002</v>
      </c>
      <c r="F46" s="2" t="s">
        <v>436</v>
      </c>
      <c r="G46" s="2" t="s">
        <v>9</v>
      </c>
      <c r="H46" s="2" t="s">
        <v>10</v>
      </c>
      <c r="I46" s="2" t="s">
        <v>1345</v>
      </c>
      <c r="J46" s="2" t="s">
        <v>14</v>
      </c>
      <c r="K46" s="2">
        <v>100</v>
      </c>
      <c r="L46" s="2">
        <v>0.09</v>
      </c>
      <c r="M46" s="13" t="s">
        <v>1386</v>
      </c>
      <c r="N46" s="13" t="s">
        <v>1455</v>
      </c>
      <c r="O46" s="2" t="s">
        <v>1394</v>
      </c>
      <c r="P46" s="13" t="s">
        <v>1513</v>
      </c>
      <c r="Q46" s="13">
        <v>1</v>
      </c>
      <c r="R46" s="13" t="s">
        <v>1364</v>
      </c>
    </row>
    <row r="47" spans="1:18" s="13" customFormat="1" ht="31" customHeight="1" x14ac:dyDescent="0.2">
      <c r="A47" s="2">
        <v>46</v>
      </c>
      <c r="B47" s="2" t="s">
        <v>1338</v>
      </c>
      <c r="C47" s="2" t="s">
        <v>29</v>
      </c>
      <c r="D47" s="13">
        <v>7.6299400000000004</v>
      </c>
      <c r="E47" s="13">
        <v>46.287300000000002</v>
      </c>
      <c r="F47" s="2" t="s">
        <v>436</v>
      </c>
      <c r="G47" s="2" t="s">
        <v>9</v>
      </c>
      <c r="H47" s="2" t="s">
        <v>10</v>
      </c>
      <c r="I47" s="2" t="s">
        <v>1345</v>
      </c>
      <c r="J47" s="2" t="s">
        <v>14</v>
      </c>
      <c r="K47" s="2">
        <v>100</v>
      </c>
      <c r="L47" s="2">
        <v>0.09</v>
      </c>
      <c r="M47" s="13" t="s">
        <v>1456</v>
      </c>
      <c r="N47" s="13" t="s">
        <v>1167</v>
      </c>
      <c r="O47" s="2" t="s">
        <v>1394</v>
      </c>
      <c r="P47" s="13" t="s">
        <v>1513</v>
      </c>
      <c r="Q47" s="13">
        <v>1</v>
      </c>
      <c r="R47" s="13" t="s">
        <v>1364</v>
      </c>
    </row>
    <row r="48" spans="1:18" s="13" customFormat="1" ht="31" customHeight="1" x14ac:dyDescent="0.2">
      <c r="A48" s="2">
        <v>47</v>
      </c>
      <c r="B48" s="2" t="s">
        <v>1338</v>
      </c>
      <c r="C48" s="2" t="s">
        <v>29</v>
      </c>
      <c r="D48" s="13">
        <v>7.6299400000000004</v>
      </c>
      <c r="E48" s="13">
        <v>46.287300000000002</v>
      </c>
      <c r="F48" s="2" t="s">
        <v>436</v>
      </c>
      <c r="G48" s="2" t="s">
        <v>9</v>
      </c>
      <c r="H48" s="2" t="s">
        <v>10</v>
      </c>
      <c r="I48" s="2" t="s">
        <v>1345</v>
      </c>
      <c r="J48" s="2" t="s">
        <v>14</v>
      </c>
      <c r="K48" s="2">
        <v>100</v>
      </c>
      <c r="L48" s="2">
        <v>0.09</v>
      </c>
      <c r="M48" s="13" t="s">
        <v>1457</v>
      </c>
      <c r="N48" s="13" t="s">
        <v>1168</v>
      </c>
      <c r="O48" s="2" t="s">
        <v>1394</v>
      </c>
      <c r="P48" s="13" t="s">
        <v>1513</v>
      </c>
      <c r="Q48" s="13">
        <v>2</v>
      </c>
      <c r="R48" s="13" t="s">
        <v>1364</v>
      </c>
    </row>
    <row r="49" spans="1:18" s="13" customFormat="1" ht="31" customHeight="1" x14ac:dyDescent="0.2">
      <c r="A49" s="2">
        <v>48</v>
      </c>
      <c r="B49" s="2" t="s">
        <v>1338</v>
      </c>
      <c r="C49" s="2" t="s">
        <v>29</v>
      </c>
      <c r="D49" s="13">
        <v>7.6299400000000004</v>
      </c>
      <c r="E49" s="13">
        <v>46.287300000000002</v>
      </c>
      <c r="F49" s="2" t="s">
        <v>436</v>
      </c>
      <c r="G49" s="2" t="s">
        <v>9</v>
      </c>
      <c r="H49" s="2" t="s">
        <v>10</v>
      </c>
      <c r="I49" s="2" t="s">
        <v>1345</v>
      </c>
      <c r="J49" s="2" t="s">
        <v>14</v>
      </c>
      <c r="K49" s="2">
        <v>100</v>
      </c>
      <c r="L49" s="2">
        <v>0.09</v>
      </c>
      <c r="M49" s="13" t="s">
        <v>1458</v>
      </c>
      <c r="N49" s="13" t="s">
        <v>1459</v>
      </c>
      <c r="O49" s="2" t="s">
        <v>1394</v>
      </c>
      <c r="P49" s="13" t="s">
        <v>1513</v>
      </c>
      <c r="Q49" s="13">
        <v>1</v>
      </c>
      <c r="R49" s="13" t="s">
        <v>1364</v>
      </c>
    </row>
    <row r="50" spans="1:18" s="13" customFormat="1" ht="31" customHeight="1" x14ac:dyDescent="0.2">
      <c r="A50" s="2">
        <v>49</v>
      </c>
      <c r="B50" s="2" t="s">
        <v>1338</v>
      </c>
      <c r="C50" s="2" t="s">
        <v>29</v>
      </c>
      <c r="D50" s="13">
        <v>7.6299400000000004</v>
      </c>
      <c r="E50" s="13">
        <v>46.287300000000002</v>
      </c>
      <c r="F50" s="2" t="s">
        <v>436</v>
      </c>
      <c r="G50" s="2" t="s">
        <v>9</v>
      </c>
      <c r="H50" s="2" t="s">
        <v>10</v>
      </c>
      <c r="I50" s="2" t="s">
        <v>1345</v>
      </c>
      <c r="J50" s="2" t="s">
        <v>14</v>
      </c>
      <c r="K50" s="2">
        <v>100</v>
      </c>
      <c r="L50" s="2">
        <v>0.09</v>
      </c>
      <c r="M50" s="13" t="s">
        <v>1460</v>
      </c>
      <c r="N50" s="13" t="s">
        <v>1169</v>
      </c>
      <c r="O50" s="2" t="s">
        <v>1394</v>
      </c>
      <c r="P50" s="13" t="s">
        <v>1513</v>
      </c>
      <c r="Q50" s="13">
        <v>1</v>
      </c>
      <c r="R50" s="13" t="s">
        <v>1364</v>
      </c>
    </row>
    <row r="51" spans="1:18" s="13" customFormat="1" ht="31" customHeight="1" x14ac:dyDescent="0.2">
      <c r="A51" s="2">
        <v>50</v>
      </c>
      <c r="B51" s="2" t="s">
        <v>1338</v>
      </c>
      <c r="C51" s="2" t="s">
        <v>29</v>
      </c>
      <c r="D51" s="13">
        <v>7.6299400000000004</v>
      </c>
      <c r="E51" s="13">
        <v>46.287300000000002</v>
      </c>
      <c r="F51" s="2" t="s">
        <v>436</v>
      </c>
      <c r="G51" s="2" t="s">
        <v>9</v>
      </c>
      <c r="H51" s="2" t="s">
        <v>10</v>
      </c>
      <c r="I51" s="2" t="s">
        <v>1345</v>
      </c>
      <c r="J51" s="2" t="s">
        <v>14</v>
      </c>
      <c r="K51" s="2">
        <v>100</v>
      </c>
      <c r="L51" s="2">
        <v>0.09</v>
      </c>
      <c r="M51" s="2" t="s">
        <v>1170</v>
      </c>
      <c r="N51" s="2" t="s">
        <v>1171</v>
      </c>
      <c r="O51" s="2" t="s">
        <v>1394</v>
      </c>
      <c r="P51" s="13" t="s">
        <v>1513</v>
      </c>
      <c r="Q51" s="13">
        <v>1</v>
      </c>
      <c r="R51" s="13" t="s">
        <v>1364</v>
      </c>
    </row>
    <row r="52" spans="1:18" s="13" customFormat="1" ht="31" customHeight="1" x14ac:dyDescent="0.2">
      <c r="A52" s="2">
        <v>51</v>
      </c>
      <c r="B52" s="2" t="s">
        <v>1338</v>
      </c>
      <c r="C52" s="2" t="s">
        <v>29</v>
      </c>
      <c r="D52" s="13">
        <v>7.6299400000000004</v>
      </c>
      <c r="E52" s="13">
        <v>46.287300000000002</v>
      </c>
      <c r="F52" s="2" t="s">
        <v>436</v>
      </c>
      <c r="G52" s="2" t="s">
        <v>9</v>
      </c>
      <c r="H52" s="2" t="s">
        <v>10</v>
      </c>
      <c r="I52" s="2" t="s">
        <v>1345</v>
      </c>
      <c r="J52" s="2" t="s">
        <v>14</v>
      </c>
      <c r="K52" s="2">
        <v>100</v>
      </c>
      <c r="L52" s="2">
        <v>0.09</v>
      </c>
      <c r="M52" s="2" t="s">
        <v>1461</v>
      </c>
      <c r="N52" s="2" t="s">
        <v>1488</v>
      </c>
      <c r="O52" s="2" t="s">
        <v>1394</v>
      </c>
      <c r="P52" s="13" t="s">
        <v>1513</v>
      </c>
      <c r="Q52" s="13">
        <v>6</v>
      </c>
      <c r="R52" s="13" t="s">
        <v>1364</v>
      </c>
    </row>
    <row r="53" spans="1:18" s="13" customFormat="1" ht="31" customHeight="1" x14ac:dyDescent="0.2">
      <c r="A53" s="2">
        <v>52</v>
      </c>
      <c r="B53" s="2" t="s">
        <v>1338</v>
      </c>
      <c r="C53" s="2" t="s">
        <v>29</v>
      </c>
      <c r="D53" s="13">
        <v>7.6299400000000004</v>
      </c>
      <c r="E53" s="13">
        <v>46.287300000000002</v>
      </c>
      <c r="F53" s="2" t="s">
        <v>436</v>
      </c>
      <c r="G53" s="2" t="s">
        <v>9</v>
      </c>
      <c r="H53" s="2" t="s">
        <v>10</v>
      </c>
      <c r="I53" s="2" t="s">
        <v>1345</v>
      </c>
      <c r="J53" s="2" t="s">
        <v>14</v>
      </c>
      <c r="K53" s="2">
        <v>100</v>
      </c>
      <c r="L53" s="2">
        <v>0.09</v>
      </c>
      <c r="M53" s="13" t="s">
        <v>1462</v>
      </c>
      <c r="N53" s="13" t="s">
        <v>1387</v>
      </c>
      <c r="O53" s="2" t="s">
        <v>1394</v>
      </c>
      <c r="P53" s="13" t="s">
        <v>1513</v>
      </c>
      <c r="Q53" s="13">
        <v>4</v>
      </c>
      <c r="R53" s="13" t="s">
        <v>1364</v>
      </c>
    </row>
    <row r="54" spans="1:18" s="13" customFormat="1" ht="31" customHeight="1" x14ac:dyDescent="0.2">
      <c r="A54" s="2">
        <v>53</v>
      </c>
      <c r="B54" s="2" t="s">
        <v>1338</v>
      </c>
      <c r="C54" s="2" t="s">
        <v>29</v>
      </c>
      <c r="D54" s="13">
        <v>7.6299400000000004</v>
      </c>
      <c r="E54" s="13">
        <v>46.287300000000002</v>
      </c>
      <c r="F54" s="2" t="s">
        <v>436</v>
      </c>
      <c r="G54" s="2" t="s">
        <v>9</v>
      </c>
      <c r="H54" s="2" t="s">
        <v>10</v>
      </c>
      <c r="I54" s="2" t="s">
        <v>1345</v>
      </c>
      <c r="J54" s="2" t="s">
        <v>14</v>
      </c>
      <c r="K54" s="2">
        <v>100</v>
      </c>
      <c r="L54" s="2">
        <v>0.09</v>
      </c>
      <c r="M54" s="13" t="s">
        <v>1463</v>
      </c>
      <c r="N54" s="13" t="s">
        <v>1388</v>
      </c>
      <c r="O54" s="2" t="s">
        <v>1394</v>
      </c>
      <c r="P54" s="13" t="s">
        <v>1513</v>
      </c>
      <c r="Q54" s="13">
        <v>2</v>
      </c>
      <c r="R54" s="13" t="s">
        <v>1364</v>
      </c>
    </row>
    <row r="55" spans="1:18" s="13" customFormat="1" ht="31" customHeight="1" x14ac:dyDescent="0.2">
      <c r="A55" s="2">
        <v>54</v>
      </c>
      <c r="B55" s="2" t="s">
        <v>1338</v>
      </c>
      <c r="C55" s="2" t="s">
        <v>29</v>
      </c>
      <c r="D55" s="13">
        <v>7.6299400000000004</v>
      </c>
      <c r="E55" s="13">
        <v>46.287300000000002</v>
      </c>
      <c r="F55" s="2" t="s">
        <v>436</v>
      </c>
      <c r="G55" s="2" t="s">
        <v>9</v>
      </c>
      <c r="H55" s="2" t="s">
        <v>10</v>
      </c>
      <c r="I55" s="2" t="s">
        <v>1345</v>
      </c>
      <c r="J55" s="2" t="s">
        <v>14</v>
      </c>
      <c r="K55" s="2">
        <v>100</v>
      </c>
      <c r="L55" s="2">
        <v>0.09</v>
      </c>
      <c r="M55" s="13" t="s">
        <v>1172</v>
      </c>
      <c r="N55" s="13" t="s">
        <v>1464</v>
      </c>
      <c r="O55" s="2" t="s">
        <v>1396</v>
      </c>
      <c r="P55" s="13" t="s">
        <v>1513</v>
      </c>
      <c r="Q55" s="13">
        <v>1</v>
      </c>
      <c r="R55" s="13" t="s">
        <v>1364</v>
      </c>
    </row>
    <row r="56" spans="1:18" s="13" customFormat="1" ht="31" customHeight="1" x14ac:dyDescent="0.2">
      <c r="A56" s="2">
        <v>55</v>
      </c>
      <c r="B56" s="2" t="s">
        <v>1338</v>
      </c>
      <c r="C56" s="2" t="s">
        <v>29</v>
      </c>
      <c r="D56" s="13">
        <v>7.6299400000000004</v>
      </c>
      <c r="E56" s="13">
        <v>46.287300000000002</v>
      </c>
      <c r="F56" s="2" t="s">
        <v>436</v>
      </c>
      <c r="G56" s="2" t="s">
        <v>9</v>
      </c>
      <c r="H56" s="2" t="s">
        <v>10</v>
      </c>
      <c r="I56" s="2" t="s">
        <v>1345</v>
      </c>
      <c r="J56" s="2" t="s">
        <v>14</v>
      </c>
      <c r="K56" s="2">
        <v>100</v>
      </c>
      <c r="L56" s="2">
        <v>0.09</v>
      </c>
      <c r="M56" s="13" t="s">
        <v>1389</v>
      </c>
      <c r="N56" s="13" t="s">
        <v>1390</v>
      </c>
      <c r="O56" s="2" t="s">
        <v>1397</v>
      </c>
      <c r="P56" s="13" t="s">
        <v>1513</v>
      </c>
      <c r="Q56" s="13">
        <v>1</v>
      </c>
      <c r="R56" s="13" t="s">
        <v>1364</v>
      </c>
    </row>
    <row r="57" spans="1:18" s="13" customFormat="1" ht="31" customHeight="1" x14ac:dyDescent="0.2">
      <c r="A57" s="2">
        <v>56</v>
      </c>
      <c r="B57" s="2" t="s">
        <v>1338</v>
      </c>
      <c r="C57" s="2" t="s">
        <v>29</v>
      </c>
      <c r="D57" s="13">
        <v>7.6299400000000004</v>
      </c>
      <c r="E57" s="13">
        <v>46.287300000000002</v>
      </c>
      <c r="F57" s="2" t="s">
        <v>436</v>
      </c>
      <c r="G57" s="2" t="s">
        <v>9</v>
      </c>
      <c r="H57" s="2" t="s">
        <v>10</v>
      </c>
      <c r="I57" s="2" t="s">
        <v>1345</v>
      </c>
      <c r="J57" s="2" t="s">
        <v>14</v>
      </c>
      <c r="K57" s="2">
        <v>100</v>
      </c>
      <c r="L57" s="2">
        <v>0.09</v>
      </c>
      <c r="M57" s="13" t="s">
        <v>1413</v>
      </c>
      <c r="N57" s="13" t="s">
        <v>1436</v>
      </c>
      <c r="O57" s="2" t="s">
        <v>1438</v>
      </c>
      <c r="P57" s="13" t="s">
        <v>1513</v>
      </c>
      <c r="Q57" s="13">
        <v>5</v>
      </c>
      <c r="R57" s="13" t="s">
        <v>1364</v>
      </c>
    </row>
    <row r="58" spans="1:18" s="13" customFormat="1" ht="31" customHeight="1" x14ac:dyDescent="0.2">
      <c r="A58" s="2">
        <v>57</v>
      </c>
      <c r="B58" s="2" t="s">
        <v>1338</v>
      </c>
      <c r="C58" s="2" t="s">
        <v>29</v>
      </c>
      <c r="D58" s="13">
        <v>7.6299400000000004</v>
      </c>
      <c r="E58" s="13">
        <v>46.287300000000002</v>
      </c>
      <c r="F58" s="2" t="s">
        <v>436</v>
      </c>
      <c r="G58" s="2" t="s">
        <v>9</v>
      </c>
      <c r="H58" s="2" t="s">
        <v>10</v>
      </c>
      <c r="I58" s="2" t="s">
        <v>1345</v>
      </c>
      <c r="J58" s="2" t="s">
        <v>14</v>
      </c>
      <c r="K58" s="2">
        <v>100</v>
      </c>
      <c r="L58" s="2">
        <v>0.09</v>
      </c>
      <c r="M58" s="13" t="s">
        <v>1465</v>
      </c>
      <c r="N58" s="13" t="s">
        <v>1437</v>
      </c>
      <c r="O58" s="2" t="s">
        <v>1439</v>
      </c>
      <c r="P58" s="13" t="s">
        <v>1513</v>
      </c>
      <c r="Q58" s="13">
        <v>2</v>
      </c>
      <c r="R58" s="13" t="s">
        <v>1364</v>
      </c>
    </row>
    <row r="59" spans="1:18" s="13" customFormat="1" ht="31" customHeight="1" x14ac:dyDescent="0.2">
      <c r="A59" s="2">
        <v>58</v>
      </c>
      <c r="B59" s="2" t="s">
        <v>1338</v>
      </c>
      <c r="C59" s="2" t="s">
        <v>29</v>
      </c>
      <c r="D59" s="13">
        <v>7.6299400000000004</v>
      </c>
      <c r="E59" s="13">
        <v>46.287300000000002</v>
      </c>
      <c r="F59" s="2" t="s">
        <v>436</v>
      </c>
      <c r="G59" s="2" t="s">
        <v>9</v>
      </c>
      <c r="H59" s="2" t="s">
        <v>10</v>
      </c>
      <c r="I59" s="2" t="s">
        <v>1345</v>
      </c>
      <c r="J59" s="2" t="s">
        <v>14</v>
      </c>
      <c r="K59" s="2">
        <v>100</v>
      </c>
      <c r="L59" s="2">
        <v>0.09</v>
      </c>
      <c r="M59" s="13" t="s">
        <v>1437</v>
      </c>
      <c r="N59" s="13" t="s">
        <v>1414</v>
      </c>
      <c r="O59" s="2" t="s">
        <v>1440</v>
      </c>
      <c r="P59" s="13" t="s">
        <v>1513</v>
      </c>
      <c r="Q59" s="13">
        <v>2</v>
      </c>
      <c r="R59" s="13" t="s">
        <v>1364</v>
      </c>
    </row>
    <row r="60" spans="1:18" s="13" customFormat="1" ht="31" customHeight="1" x14ac:dyDescent="0.2">
      <c r="A60" s="2">
        <v>59</v>
      </c>
      <c r="B60" s="2" t="s">
        <v>1338</v>
      </c>
      <c r="C60" s="2" t="s">
        <v>29</v>
      </c>
      <c r="D60" s="13">
        <v>7.6299400000000004</v>
      </c>
      <c r="E60" s="13">
        <v>46.287300000000002</v>
      </c>
      <c r="F60" s="2" t="s">
        <v>436</v>
      </c>
      <c r="G60" s="2" t="s">
        <v>9</v>
      </c>
      <c r="H60" s="2" t="s">
        <v>10</v>
      </c>
      <c r="I60" s="2" t="s">
        <v>1345</v>
      </c>
      <c r="J60" s="2" t="s">
        <v>14</v>
      </c>
      <c r="K60" s="2">
        <v>100</v>
      </c>
      <c r="L60" s="2">
        <v>0.09</v>
      </c>
      <c r="M60" s="13" t="s">
        <v>1466</v>
      </c>
      <c r="N60" s="13" t="s">
        <v>1173</v>
      </c>
      <c r="O60" s="2" t="s">
        <v>1394</v>
      </c>
      <c r="P60" s="13" t="s">
        <v>1513</v>
      </c>
      <c r="Q60" s="13">
        <v>1</v>
      </c>
      <c r="R60" s="13" t="s">
        <v>1364</v>
      </c>
    </row>
    <row r="61" spans="1:18" s="13" customFormat="1" ht="31" customHeight="1" x14ac:dyDescent="0.2">
      <c r="A61" s="2">
        <v>60</v>
      </c>
      <c r="B61" s="2" t="s">
        <v>1338</v>
      </c>
      <c r="C61" s="2" t="s">
        <v>29</v>
      </c>
      <c r="D61" s="13">
        <v>7.6299400000000004</v>
      </c>
      <c r="E61" s="13">
        <v>46.287300000000002</v>
      </c>
      <c r="F61" s="2" t="s">
        <v>436</v>
      </c>
      <c r="G61" s="2" t="s">
        <v>9</v>
      </c>
      <c r="H61" s="2" t="s">
        <v>10</v>
      </c>
      <c r="I61" s="2" t="s">
        <v>1345</v>
      </c>
      <c r="J61" s="2" t="s">
        <v>14</v>
      </c>
      <c r="K61" s="2">
        <v>100</v>
      </c>
      <c r="L61" s="2">
        <v>0.09</v>
      </c>
      <c r="M61" s="13" t="s">
        <v>1415</v>
      </c>
      <c r="N61" s="13" t="s">
        <v>1416</v>
      </c>
      <c r="O61" s="2" t="s">
        <v>1394</v>
      </c>
      <c r="P61" s="13" t="s">
        <v>1513</v>
      </c>
      <c r="Q61" s="13">
        <v>6</v>
      </c>
      <c r="R61" s="13" t="s">
        <v>1364</v>
      </c>
    </row>
    <row r="62" spans="1:18" s="13" customFormat="1" ht="31" customHeight="1" x14ac:dyDescent="0.2">
      <c r="A62" s="2">
        <v>61</v>
      </c>
      <c r="B62" s="2" t="s">
        <v>1338</v>
      </c>
      <c r="C62" s="2" t="s">
        <v>29</v>
      </c>
      <c r="D62" s="13">
        <v>7.6299400000000004</v>
      </c>
      <c r="E62" s="13">
        <v>46.287300000000002</v>
      </c>
      <c r="F62" s="2" t="s">
        <v>436</v>
      </c>
      <c r="G62" s="2" t="s">
        <v>9</v>
      </c>
      <c r="H62" s="2" t="s">
        <v>10</v>
      </c>
      <c r="I62" s="2" t="s">
        <v>1345</v>
      </c>
      <c r="J62" s="2" t="s">
        <v>14</v>
      </c>
      <c r="K62" s="2">
        <v>100</v>
      </c>
      <c r="L62" s="2">
        <v>0.09</v>
      </c>
      <c r="M62" s="13" t="s">
        <v>1174</v>
      </c>
      <c r="N62" s="13" t="s">
        <v>1175</v>
      </c>
      <c r="O62" s="2" t="s">
        <v>1394</v>
      </c>
      <c r="P62" s="13" t="s">
        <v>1513</v>
      </c>
      <c r="Q62" s="13">
        <v>1</v>
      </c>
      <c r="R62" s="13" t="s">
        <v>1364</v>
      </c>
    </row>
    <row r="63" spans="1:18" s="13" customFormat="1" ht="31" customHeight="1" x14ac:dyDescent="0.2">
      <c r="A63" s="2">
        <v>62</v>
      </c>
      <c r="B63" s="2" t="s">
        <v>1338</v>
      </c>
      <c r="C63" s="2" t="s">
        <v>29</v>
      </c>
      <c r="D63" s="13">
        <v>7.6299400000000004</v>
      </c>
      <c r="E63" s="13">
        <v>46.287300000000002</v>
      </c>
      <c r="F63" s="2" t="s">
        <v>436</v>
      </c>
      <c r="G63" s="2" t="s">
        <v>9</v>
      </c>
      <c r="H63" s="2" t="s">
        <v>10</v>
      </c>
      <c r="I63" s="2" t="s">
        <v>1345</v>
      </c>
      <c r="J63" s="2" t="s">
        <v>14</v>
      </c>
      <c r="K63" s="2">
        <v>100</v>
      </c>
      <c r="L63" s="2">
        <v>0.09</v>
      </c>
      <c r="M63" s="13" t="s">
        <v>1176</v>
      </c>
      <c r="N63" s="13" t="s">
        <v>1391</v>
      </c>
      <c r="O63" s="2" t="s">
        <v>1394</v>
      </c>
      <c r="P63" s="13" t="s">
        <v>1513</v>
      </c>
      <c r="Q63" s="13">
        <v>3</v>
      </c>
      <c r="R63" s="13" t="s">
        <v>1364</v>
      </c>
    </row>
    <row r="64" spans="1:18" s="13" customFormat="1" ht="31" customHeight="1" x14ac:dyDescent="0.2">
      <c r="A64" s="2">
        <v>63</v>
      </c>
      <c r="B64" s="2" t="s">
        <v>1338</v>
      </c>
      <c r="C64" s="2" t="s">
        <v>29</v>
      </c>
      <c r="D64" s="13">
        <v>7.6299400000000004</v>
      </c>
      <c r="E64" s="13">
        <v>46.287300000000002</v>
      </c>
      <c r="F64" s="2" t="s">
        <v>436</v>
      </c>
      <c r="G64" s="2" t="s">
        <v>9</v>
      </c>
      <c r="H64" s="2" t="s">
        <v>10</v>
      </c>
      <c r="I64" s="2" t="s">
        <v>1345</v>
      </c>
      <c r="J64" s="2" t="s">
        <v>14</v>
      </c>
      <c r="K64" s="2">
        <v>100</v>
      </c>
      <c r="L64" s="2">
        <v>0.09</v>
      </c>
      <c r="M64" s="13" t="s">
        <v>1177</v>
      </c>
      <c r="N64" s="13" t="s">
        <v>1178</v>
      </c>
      <c r="O64" s="2" t="s">
        <v>1394</v>
      </c>
      <c r="P64" s="13" t="s">
        <v>1513</v>
      </c>
      <c r="Q64" s="13">
        <v>2</v>
      </c>
      <c r="R64" s="13" t="s">
        <v>1364</v>
      </c>
    </row>
    <row r="65" spans="1:19" s="13" customFormat="1" ht="31" customHeight="1" x14ac:dyDescent="0.2">
      <c r="A65" s="2">
        <v>64</v>
      </c>
      <c r="B65" s="2" t="s">
        <v>1338</v>
      </c>
      <c r="C65" s="2" t="s">
        <v>29</v>
      </c>
      <c r="D65" s="13">
        <v>7.6299400000000004</v>
      </c>
      <c r="E65" s="13">
        <v>46.287300000000002</v>
      </c>
      <c r="F65" s="2" t="s">
        <v>436</v>
      </c>
      <c r="G65" s="2" t="s">
        <v>9</v>
      </c>
      <c r="H65" s="2" t="s">
        <v>10</v>
      </c>
      <c r="I65" s="2" t="s">
        <v>1345</v>
      </c>
      <c r="J65" s="2" t="s">
        <v>14</v>
      </c>
      <c r="K65" s="2">
        <v>100</v>
      </c>
      <c r="L65" s="2">
        <v>0.09</v>
      </c>
      <c r="M65" s="13" t="s">
        <v>1467</v>
      </c>
      <c r="N65" s="13" t="s">
        <v>1179</v>
      </c>
      <c r="O65" s="2" t="s">
        <v>1394</v>
      </c>
      <c r="P65" s="13" t="s">
        <v>1513</v>
      </c>
      <c r="Q65" s="13">
        <v>1</v>
      </c>
      <c r="R65" s="13" t="s">
        <v>1364</v>
      </c>
    </row>
    <row r="66" spans="1:19" s="13" customFormat="1" ht="31" customHeight="1" x14ac:dyDescent="0.2">
      <c r="A66" s="2">
        <v>65</v>
      </c>
      <c r="B66" s="2" t="s">
        <v>1338</v>
      </c>
      <c r="C66" s="2" t="s">
        <v>29</v>
      </c>
      <c r="D66" s="13">
        <v>7.6299400000000004</v>
      </c>
      <c r="E66" s="13">
        <v>46.287300000000002</v>
      </c>
      <c r="F66" s="2" t="s">
        <v>436</v>
      </c>
      <c r="G66" s="2" t="s">
        <v>9</v>
      </c>
      <c r="H66" s="2" t="s">
        <v>10</v>
      </c>
      <c r="I66" s="2" t="s">
        <v>1345</v>
      </c>
      <c r="J66" s="2" t="s">
        <v>14</v>
      </c>
      <c r="K66" s="2">
        <v>100</v>
      </c>
      <c r="L66" s="2">
        <v>0.09</v>
      </c>
      <c r="M66" s="13" t="s">
        <v>1180</v>
      </c>
      <c r="N66" s="13" t="s">
        <v>1181</v>
      </c>
      <c r="O66" s="2" t="s">
        <v>1394</v>
      </c>
      <c r="P66" s="13" t="s">
        <v>1513</v>
      </c>
      <c r="Q66" s="13">
        <v>2</v>
      </c>
      <c r="R66" s="13" t="s">
        <v>1364</v>
      </c>
    </row>
    <row r="67" spans="1:19" s="13" customFormat="1" ht="31" customHeight="1" x14ac:dyDescent="0.2">
      <c r="A67" s="2">
        <v>66</v>
      </c>
      <c r="B67" s="2" t="s">
        <v>1338</v>
      </c>
      <c r="C67" s="2" t="s">
        <v>29</v>
      </c>
      <c r="D67" s="13">
        <v>7.6299400000000004</v>
      </c>
      <c r="E67" s="13">
        <v>46.287300000000002</v>
      </c>
      <c r="F67" s="2" t="s">
        <v>436</v>
      </c>
      <c r="G67" s="2" t="s">
        <v>9</v>
      </c>
      <c r="H67" s="2" t="s">
        <v>10</v>
      </c>
      <c r="I67" s="2" t="s">
        <v>1345</v>
      </c>
      <c r="J67" s="2" t="s">
        <v>14</v>
      </c>
      <c r="K67" s="2">
        <v>100</v>
      </c>
      <c r="L67" s="2">
        <v>0.09</v>
      </c>
      <c r="M67" s="13" t="s">
        <v>1182</v>
      </c>
      <c r="N67" s="13" t="s">
        <v>1417</v>
      </c>
      <c r="O67" s="2" t="s">
        <v>1394</v>
      </c>
      <c r="P67" s="13" t="s">
        <v>1513</v>
      </c>
      <c r="Q67" s="13">
        <v>2</v>
      </c>
      <c r="R67" s="13" t="s">
        <v>1364</v>
      </c>
    </row>
    <row r="68" spans="1:19" s="36" customFormat="1" ht="31" customHeight="1" x14ac:dyDescent="0.2">
      <c r="A68" s="35"/>
      <c r="B68" s="35"/>
      <c r="C68" s="35"/>
      <c r="F68" s="35"/>
      <c r="G68" s="35"/>
      <c r="H68" s="35"/>
      <c r="I68" s="35"/>
      <c r="J68" s="35"/>
      <c r="K68" s="35"/>
      <c r="L68" s="35"/>
      <c r="O68" s="35"/>
      <c r="S68" s="37"/>
    </row>
    <row r="69" spans="1:19" ht="31" customHeight="1" x14ac:dyDescent="0.2">
      <c r="A69" s="2">
        <v>67</v>
      </c>
      <c r="B69" s="2" t="s">
        <v>1335</v>
      </c>
      <c r="C69" s="2" t="s">
        <v>49</v>
      </c>
      <c r="D69" s="2">
        <v>-119.6259</v>
      </c>
      <c r="E69" s="2">
        <v>34.450499999999998</v>
      </c>
      <c r="F69" s="2" t="s">
        <v>516</v>
      </c>
      <c r="G69" s="2" t="s">
        <v>4</v>
      </c>
      <c r="H69" s="2" t="s">
        <v>5</v>
      </c>
      <c r="I69" s="2" t="s">
        <v>1345</v>
      </c>
      <c r="J69" s="2" t="s">
        <v>1202</v>
      </c>
      <c r="K69" s="2">
        <v>100</v>
      </c>
      <c r="L69" s="2">
        <v>0.2</v>
      </c>
      <c r="M69" s="2" t="s">
        <v>1233</v>
      </c>
      <c r="N69" s="2" t="s">
        <v>1234</v>
      </c>
      <c r="O69" s="2" t="s">
        <v>1115</v>
      </c>
      <c r="P69" s="8" t="s">
        <v>1513</v>
      </c>
      <c r="Q69" s="2">
        <v>1</v>
      </c>
      <c r="R69" s="2">
        <v>0</v>
      </c>
    </row>
    <row r="70" spans="1:19" ht="31" customHeight="1" x14ac:dyDescent="0.2">
      <c r="A70" s="2">
        <v>68</v>
      </c>
      <c r="B70" s="2" t="s">
        <v>1335</v>
      </c>
      <c r="C70" s="2" t="s">
        <v>1330</v>
      </c>
      <c r="D70" s="2">
        <v>-111.6236</v>
      </c>
      <c r="E70" s="2">
        <v>35.256100000000004</v>
      </c>
      <c r="F70" s="2" t="s">
        <v>267</v>
      </c>
      <c r="G70" s="2" t="s">
        <v>3</v>
      </c>
      <c r="H70" s="2" t="s">
        <v>1500</v>
      </c>
      <c r="I70" s="2" t="s">
        <v>1345</v>
      </c>
      <c r="J70" s="2" t="s">
        <v>14</v>
      </c>
      <c r="K70" s="2">
        <v>200</v>
      </c>
      <c r="L70" s="2">
        <v>0.1</v>
      </c>
      <c r="M70" s="2" t="s">
        <v>1497</v>
      </c>
      <c r="N70" s="2" t="s">
        <v>1498</v>
      </c>
      <c r="O70" s="2" t="s">
        <v>1115</v>
      </c>
      <c r="P70" s="8" t="s">
        <v>1513</v>
      </c>
      <c r="Q70" s="2">
        <v>1</v>
      </c>
      <c r="R70" s="2">
        <v>0</v>
      </c>
    </row>
    <row r="71" spans="1:19" s="13" customFormat="1" ht="31" customHeight="1" x14ac:dyDescent="0.2">
      <c r="A71" s="2">
        <v>69</v>
      </c>
      <c r="B71" s="2" t="s">
        <v>1335</v>
      </c>
      <c r="C71" s="2" t="s">
        <v>1330</v>
      </c>
      <c r="D71" s="13">
        <v>-111.61239999999999</v>
      </c>
      <c r="E71" s="13">
        <v>35.256999999999998</v>
      </c>
      <c r="F71" s="2" t="s">
        <v>267</v>
      </c>
      <c r="G71" s="2" t="s">
        <v>3</v>
      </c>
      <c r="H71" s="2" t="s">
        <v>2</v>
      </c>
      <c r="I71" s="2" t="s">
        <v>1345</v>
      </c>
      <c r="J71" s="2" t="s">
        <v>18</v>
      </c>
      <c r="K71" s="2">
        <v>500</v>
      </c>
      <c r="L71" s="2">
        <v>0.1</v>
      </c>
      <c r="M71" s="2" t="s">
        <v>1183</v>
      </c>
      <c r="N71" s="2" t="s">
        <v>1184</v>
      </c>
      <c r="O71" s="2" t="s">
        <v>1115</v>
      </c>
      <c r="P71" s="8" t="s">
        <v>1513</v>
      </c>
      <c r="Q71" s="13">
        <v>1</v>
      </c>
      <c r="R71" s="13" t="s">
        <v>1364</v>
      </c>
      <c r="S71" s="8"/>
    </row>
    <row r="72" spans="1:19" s="13" customFormat="1" ht="31" customHeight="1" x14ac:dyDescent="0.2">
      <c r="A72" s="2">
        <v>70</v>
      </c>
      <c r="B72" s="2" t="s">
        <v>1335</v>
      </c>
      <c r="C72" s="2" t="s">
        <v>1330</v>
      </c>
      <c r="D72" s="13">
        <v>-111.61239999999999</v>
      </c>
      <c r="E72" s="13">
        <v>35.256999999999998</v>
      </c>
      <c r="F72" s="2" t="s">
        <v>267</v>
      </c>
      <c r="G72" s="2" t="s">
        <v>3</v>
      </c>
      <c r="H72" s="2" t="s">
        <v>2</v>
      </c>
      <c r="I72" s="2" t="s">
        <v>1345</v>
      </c>
      <c r="J72" s="2" t="s">
        <v>18</v>
      </c>
      <c r="K72" s="2">
        <v>500</v>
      </c>
      <c r="L72" s="2">
        <v>0.1</v>
      </c>
      <c r="M72" s="2" t="s">
        <v>1185</v>
      </c>
      <c r="N72" s="2" t="s">
        <v>1468</v>
      </c>
      <c r="O72" s="2" t="s">
        <v>1115</v>
      </c>
      <c r="P72" s="13" t="s">
        <v>1513</v>
      </c>
      <c r="Q72" s="13">
        <v>1</v>
      </c>
      <c r="R72" s="13" t="s">
        <v>1364</v>
      </c>
      <c r="S72" s="8"/>
    </row>
    <row r="73" spans="1:19" s="13" customFormat="1" ht="31" customHeight="1" x14ac:dyDescent="0.2">
      <c r="A73" s="2">
        <v>71</v>
      </c>
      <c r="B73" s="2" t="s">
        <v>1335</v>
      </c>
      <c r="C73" s="2" t="s">
        <v>1330</v>
      </c>
      <c r="D73" s="13">
        <v>-111.61239999999999</v>
      </c>
      <c r="E73" s="13">
        <v>35.256999999999998</v>
      </c>
      <c r="F73" s="2" t="s">
        <v>267</v>
      </c>
      <c r="G73" s="2" t="s">
        <v>3</v>
      </c>
      <c r="H73" s="2" t="s">
        <v>2</v>
      </c>
      <c r="I73" s="2" t="s">
        <v>1345</v>
      </c>
      <c r="J73" s="2" t="s">
        <v>18</v>
      </c>
      <c r="K73" s="2">
        <v>500</v>
      </c>
      <c r="L73" s="2">
        <v>0.1</v>
      </c>
      <c r="M73" s="2" t="s">
        <v>1469</v>
      </c>
      <c r="N73" s="2" t="s">
        <v>1186</v>
      </c>
      <c r="O73" s="2" t="s">
        <v>1115</v>
      </c>
      <c r="P73" s="13" t="s">
        <v>1513</v>
      </c>
      <c r="Q73" s="13">
        <v>1</v>
      </c>
      <c r="R73" s="13" t="s">
        <v>1364</v>
      </c>
      <c r="S73" s="8"/>
    </row>
    <row r="74" spans="1:19" s="13" customFormat="1" ht="31" customHeight="1" x14ac:dyDescent="0.2">
      <c r="A74" s="2">
        <v>72</v>
      </c>
      <c r="B74" s="2" t="s">
        <v>1335</v>
      </c>
      <c r="C74" s="2" t="s">
        <v>1330</v>
      </c>
      <c r="D74" s="13">
        <v>-111.61239999999999</v>
      </c>
      <c r="E74" s="13">
        <v>35.256999999999998</v>
      </c>
      <c r="F74" s="2" t="s">
        <v>267</v>
      </c>
      <c r="G74" s="2" t="s">
        <v>3</v>
      </c>
      <c r="H74" s="2" t="s">
        <v>2</v>
      </c>
      <c r="I74" s="2" t="s">
        <v>1345</v>
      </c>
      <c r="J74" s="2" t="s">
        <v>18</v>
      </c>
      <c r="K74" s="2">
        <v>500</v>
      </c>
      <c r="L74" s="2">
        <v>0.1</v>
      </c>
      <c r="M74" s="2" t="s">
        <v>1187</v>
      </c>
      <c r="N74" s="2" t="s">
        <v>1188</v>
      </c>
      <c r="O74" s="2" t="s">
        <v>1115</v>
      </c>
      <c r="P74" s="13" t="s">
        <v>1513</v>
      </c>
      <c r="Q74" s="13">
        <v>1</v>
      </c>
      <c r="R74" s="13" t="s">
        <v>1364</v>
      </c>
      <c r="S74" s="8"/>
    </row>
    <row r="75" spans="1:19" s="13" customFormat="1" ht="31" customHeight="1" x14ac:dyDescent="0.2">
      <c r="A75" s="2">
        <v>73</v>
      </c>
      <c r="B75" s="2" t="s">
        <v>1335</v>
      </c>
      <c r="C75" s="2" t="s">
        <v>1319</v>
      </c>
      <c r="D75" s="2">
        <v>-106.18702999999999</v>
      </c>
      <c r="E75" s="2">
        <v>38.733310000000003</v>
      </c>
      <c r="F75" s="2" t="s">
        <v>267</v>
      </c>
      <c r="G75" s="2" t="s">
        <v>1</v>
      </c>
      <c r="H75" s="2" t="s">
        <v>1192</v>
      </c>
      <c r="I75" s="2" t="s">
        <v>1345</v>
      </c>
      <c r="J75" s="2" t="s">
        <v>17</v>
      </c>
      <c r="K75" s="2">
        <v>100</v>
      </c>
      <c r="L75" s="2">
        <v>0.09</v>
      </c>
      <c r="M75" s="2" t="s">
        <v>1419</v>
      </c>
      <c r="N75" s="2" t="s">
        <v>1191</v>
      </c>
      <c r="O75" s="2" t="s">
        <v>1115</v>
      </c>
      <c r="P75" s="13" t="s">
        <v>1515</v>
      </c>
      <c r="Q75" s="13">
        <v>1</v>
      </c>
      <c r="R75" s="13" t="s">
        <v>1364</v>
      </c>
      <c r="S75" s="8"/>
    </row>
    <row r="76" spans="1:19" s="13" customFormat="1" ht="31" customHeight="1" x14ac:dyDescent="0.2">
      <c r="A76" s="2">
        <v>74</v>
      </c>
      <c r="B76" s="2" t="s">
        <v>1335</v>
      </c>
      <c r="C76" s="2" t="s">
        <v>1319</v>
      </c>
      <c r="D76" s="2">
        <v>-106.18702999999999</v>
      </c>
      <c r="E76" s="2">
        <v>38.733310000000003</v>
      </c>
      <c r="F76" s="2" t="s">
        <v>267</v>
      </c>
      <c r="G76" s="2" t="s">
        <v>1</v>
      </c>
      <c r="H76" s="2" t="s">
        <v>1192</v>
      </c>
      <c r="I76" s="2" t="s">
        <v>1345</v>
      </c>
      <c r="J76" s="2" t="s">
        <v>17</v>
      </c>
      <c r="K76" s="2">
        <v>100</v>
      </c>
      <c r="L76" s="2">
        <v>0.09</v>
      </c>
      <c r="M76" s="2" t="s">
        <v>1193</v>
      </c>
      <c r="N76" s="2" t="s">
        <v>1392</v>
      </c>
      <c r="O76" s="2" t="s">
        <v>1115</v>
      </c>
      <c r="P76" s="13" t="s">
        <v>1513</v>
      </c>
      <c r="Q76" s="13">
        <v>1</v>
      </c>
      <c r="R76" s="13" t="s">
        <v>1364</v>
      </c>
      <c r="S76" s="8"/>
    </row>
    <row r="77" spans="1:19" ht="31" customHeight="1" x14ac:dyDescent="0.2">
      <c r="A77" s="2">
        <v>75</v>
      </c>
      <c r="B77" s="2" t="s">
        <v>1335</v>
      </c>
      <c r="C77" s="2" t="s">
        <v>1319</v>
      </c>
      <c r="D77" s="2">
        <v>-106.18702999999999</v>
      </c>
      <c r="E77" s="2">
        <v>38.733310000000003</v>
      </c>
      <c r="F77" s="2" t="s">
        <v>1089</v>
      </c>
      <c r="G77" s="2" t="s">
        <v>1090</v>
      </c>
      <c r="H77" s="2" t="s">
        <v>1091</v>
      </c>
      <c r="I77" s="2" t="s">
        <v>1345</v>
      </c>
      <c r="J77" s="2" t="s">
        <v>1092</v>
      </c>
      <c r="K77" s="2">
        <v>333.3</v>
      </c>
      <c r="L77" s="2">
        <v>0.1</v>
      </c>
      <c r="M77" s="2" t="s">
        <v>1194</v>
      </c>
      <c r="N77" s="2" t="s">
        <v>1195</v>
      </c>
      <c r="O77" s="2" t="s">
        <v>1115</v>
      </c>
      <c r="P77" s="13" t="s">
        <v>1513</v>
      </c>
      <c r="Q77" s="2">
        <v>1</v>
      </c>
      <c r="R77" s="2" t="s">
        <v>1495</v>
      </c>
    </row>
    <row r="78" spans="1:19" ht="31" customHeight="1" x14ac:dyDescent="0.2">
      <c r="A78" s="2">
        <v>76</v>
      </c>
      <c r="B78" s="2" t="s">
        <v>1335</v>
      </c>
      <c r="C78" s="2" t="s">
        <v>1319</v>
      </c>
      <c r="D78" s="2">
        <v>-106.18702999999999</v>
      </c>
      <c r="E78" s="2">
        <v>38.733310000000003</v>
      </c>
      <c r="F78" s="2" t="s">
        <v>1089</v>
      </c>
      <c r="G78" s="2" t="s">
        <v>1090</v>
      </c>
      <c r="H78" s="2" t="s">
        <v>1091</v>
      </c>
      <c r="I78" s="2" t="s">
        <v>1345</v>
      </c>
      <c r="J78" s="2" t="s">
        <v>1092</v>
      </c>
      <c r="K78" s="2">
        <v>333.3</v>
      </c>
      <c r="L78" s="2">
        <v>0.1</v>
      </c>
      <c r="M78" s="2" t="s">
        <v>1474</v>
      </c>
      <c r="N78" s="2" t="s">
        <v>1499</v>
      </c>
      <c r="O78" s="2" t="s">
        <v>1115</v>
      </c>
      <c r="P78" s="8" t="s">
        <v>1515</v>
      </c>
      <c r="Q78" s="2">
        <v>1</v>
      </c>
      <c r="R78" s="2" t="s">
        <v>1495</v>
      </c>
    </row>
    <row r="79" spans="1:19" s="13" customFormat="1" ht="31" customHeight="1" x14ac:dyDescent="0.2">
      <c r="A79" s="2">
        <v>77</v>
      </c>
      <c r="B79" s="2" t="s">
        <v>1339</v>
      </c>
      <c r="C79" s="2" t="s">
        <v>62</v>
      </c>
      <c r="D79" s="13">
        <v>104.6</v>
      </c>
      <c r="E79" s="13">
        <v>33.5</v>
      </c>
      <c r="F79" s="2" t="s">
        <v>1348</v>
      </c>
      <c r="G79" s="2" t="s">
        <v>6</v>
      </c>
      <c r="H79" s="2" t="s">
        <v>1189</v>
      </c>
      <c r="I79" s="2" t="s">
        <v>1345</v>
      </c>
      <c r="J79" s="2" t="s">
        <v>15</v>
      </c>
      <c r="K79" s="2">
        <v>100</v>
      </c>
      <c r="L79" s="2">
        <v>1.0999999999999999E-2</v>
      </c>
      <c r="M79" s="2" t="s">
        <v>1489</v>
      </c>
      <c r="N79" s="2" t="s">
        <v>1490</v>
      </c>
      <c r="O79" s="19" t="s">
        <v>1115</v>
      </c>
      <c r="P79" s="8" t="s">
        <v>1515</v>
      </c>
      <c r="Q79" s="13">
        <v>2</v>
      </c>
      <c r="R79" s="13" t="s">
        <v>1404</v>
      </c>
      <c r="S79" s="8"/>
    </row>
    <row r="80" spans="1:19" s="13" customFormat="1" ht="31" customHeight="1" x14ac:dyDescent="0.2">
      <c r="A80" s="2">
        <v>78</v>
      </c>
      <c r="B80" s="2" t="s">
        <v>1339</v>
      </c>
      <c r="C80" s="2" t="s">
        <v>62</v>
      </c>
      <c r="D80" s="13">
        <v>104.6</v>
      </c>
      <c r="E80" s="13">
        <v>33.5</v>
      </c>
      <c r="F80" s="2" t="s">
        <v>1348</v>
      </c>
      <c r="G80" s="2" t="s">
        <v>6</v>
      </c>
      <c r="H80" s="2" t="s">
        <v>1189</v>
      </c>
      <c r="I80" s="2" t="s">
        <v>1345</v>
      </c>
      <c r="J80" s="2" t="s">
        <v>15</v>
      </c>
      <c r="K80" s="2">
        <v>100</v>
      </c>
      <c r="L80" s="2">
        <v>1.0999999999999999E-2</v>
      </c>
      <c r="M80" s="2" t="s">
        <v>1418</v>
      </c>
      <c r="N80" s="2" t="s">
        <v>1470</v>
      </c>
      <c r="O80" s="2" t="s">
        <v>1115</v>
      </c>
      <c r="P80" s="13" t="s">
        <v>1513</v>
      </c>
      <c r="Q80" s="13">
        <v>6</v>
      </c>
      <c r="R80" s="13" t="s">
        <v>1404</v>
      </c>
      <c r="S80" s="8"/>
    </row>
    <row r="81" spans="1:19" s="13" customFormat="1" ht="31" customHeight="1" x14ac:dyDescent="0.2">
      <c r="A81" s="2">
        <v>79</v>
      </c>
      <c r="B81" s="2" t="s">
        <v>1339</v>
      </c>
      <c r="C81" s="2" t="s">
        <v>62</v>
      </c>
      <c r="D81" s="13">
        <v>104.6</v>
      </c>
      <c r="E81" s="13">
        <v>33.5</v>
      </c>
      <c r="F81" s="2" t="s">
        <v>1348</v>
      </c>
      <c r="G81" s="2" t="s">
        <v>6</v>
      </c>
      <c r="H81" s="2" t="s">
        <v>1189</v>
      </c>
      <c r="I81" s="2" t="s">
        <v>1345</v>
      </c>
      <c r="J81" s="2" t="s">
        <v>15</v>
      </c>
      <c r="K81" s="2">
        <v>100</v>
      </c>
      <c r="L81" s="2">
        <v>1.0999999999999999E-2</v>
      </c>
      <c r="M81" s="2" t="s">
        <v>1491</v>
      </c>
      <c r="N81" s="2" t="s">
        <v>1492</v>
      </c>
      <c r="O81" s="2" t="s">
        <v>1115</v>
      </c>
      <c r="P81" s="13" t="s">
        <v>1513</v>
      </c>
      <c r="Q81" s="13">
        <v>1</v>
      </c>
      <c r="R81" s="13" t="s">
        <v>1404</v>
      </c>
      <c r="S81" s="8"/>
    </row>
    <row r="82" spans="1:19" s="13" customFormat="1" ht="31" customHeight="1" x14ac:dyDescent="0.2">
      <c r="A82" s="2">
        <v>80</v>
      </c>
      <c r="B82" s="2" t="s">
        <v>1339</v>
      </c>
      <c r="C82" s="2" t="s">
        <v>62</v>
      </c>
      <c r="D82" s="13">
        <v>104.6</v>
      </c>
      <c r="E82" s="13">
        <v>33.5</v>
      </c>
      <c r="F82" s="2" t="s">
        <v>1348</v>
      </c>
      <c r="G82" s="2" t="s">
        <v>6</v>
      </c>
      <c r="H82" s="2" t="s">
        <v>1189</v>
      </c>
      <c r="I82" s="2" t="s">
        <v>1345</v>
      </c>
      <c r="J82" s="2" t="s">
        <v>15</v>
      </c>
      <c r="K82" s="2">
        <v>100</v>
      </c>
      <c r="L82" s="2">
        <v>1.0999999999999999E-2</v>
      </c>
      <c r="M82" s="2" t="s">
        <v>1190</v>
      </c>
      <c r="N82" s="2" t="s">
        <v>1471</v>
      </c>
      <c r="O82" s="2" t="s">
        <v>1115</v>
      </c>
      <c r="P82" s="13" t="s">
        <v>1513</v>
      </c>
      <c r="Q82" s="13">
        <v>1</v>
      </c>
      <c r="R82" s="13" t="s">
        <v>1404</v>
      </c>
      <c r="S82" s="8"/>
    </row>
    <row r="83" spans="1:19" s="13" customFormat="1" ht="31" customHeight="1" x14ac:dyDescent="0.2">
      <c r="A83" s="2">
        <v>81</v>
      </c>
      <c r="B83" s="2" t="s">
        <v>1339</v>
      </c>
      <c r="C83" s="2" t="s">
        <v>60</v>
      </c>
      <c r="D83" s="13">
        <v>103.555556</v>
      </c>
      <c r="E83" s="13">
        <v>31.23</v>
      </c>
      <c r="F83" s="2" t="s">
        <v>1348</v>
      </c>
      <c r="G83" s="2" t="s">
        <v>7</v>
      </c>
      <c r="H83" s="2" t="s">
        <v>1198</v>
      </c>
      <c r="I83" s="2" t="s">
        <v>1345</v>
      </c>
      <c r="J83" s="2" t="s">
        <v>16</v>
      </c>
      <c r="K83" s="2">
        <v>100</v>
      </c>
      <c r="L83" s="2">
        <v>2.9000000000000001E-2</v>
      </c>
      <c r="M83" s="2" t="s">
        <v>1503</v>
      </c>
      <c r="N83" s="2" t="s">
        <v>1504</v>
      </c>
      <c r="O83" s="2" t="s">
        <v>1501</v>
      </c>
      <c r="P83" s="13" t="s">
        <v>1513</v>
      </c>
      <c r="Q83" s="13">
        <v>2</v>
      </c>
      <c r="R83" s="13" t="s">
        <v>1507</v>
      </c>
      <c r="S83" s="8"/>
    </row>
    <row r="84" spans="1:19" s="13" customFormat="1" ht="31" customHeight="1" x14ac:dyDescent="0.2">
      <c r="A84" s="2">
        <v>82</v>
      </c>
      <c r="B84" s="2" t="s">
        <v>1339</v>
      </c>
      <c r="C84" s="2" t="s">
        <v>60</v>
      </c>
      <c r="D84" s="13">
        <v>103.555556</v>
      </c>
      <c r="E84" s="13">
        <v>31.23</v>
      </c>
      <c r="F84" s="2" t="s">
        <v>1348</v>
      </c>
      <c r="G84" s="2" t="s">
        <v>7</v>
      </c>
      <c r="H84" s="2" t="s">
        <v>1198</v>
      </c>
      <c r="I84" s="2" t="s">
        <v>1345</v>
      </c>
      <c r="J84" s="2" t="s">
        <v>16</v>
      </c>
      <c r="K84" s="2">
        <v>100</v>
      </c>
      <c r="L84" s="2">
        <v>2.9000000000000001E-2</v>
      </c>
      <c r="M84" s="2" t="s">
        <v>1505</v>
      </c>
      <c r="N84" s="2" t="s">
        <v>1506</v>
      </c>
      <c r="O84" s="2" t="s">
        <v>1502</v>
      </c>
      <c r="P84" s="13" t="s">
        <v>1513</v>
      </c>
      <c r="Q84" s="13">
        <v>2</v>
      </c>
      <c r="R84" s="13" t="s">
        <v>1507</v>
      </c>
      <c r="S84" s="8"/>
    </row>
    <row r="85" spans="1:19" s="13" customFormat="1" ht="31" customHeight="1" x14ac:dyDescent="0.2">
      <c r="A85" s="2">
        <v>83</v>
      </c>
      <c r="B85" s="2" t="s">
        <v>1339</v>
      </c>
      <c r="C85" s="2" t="s">
        <v>56</v>
      </c>
      <c r="D85" s="13">
        <v>103.433333</v>
      </c>
      <c r="E85" s="13">
        <v>31.128333000000001</v>
      </c>
      <c r="F85" s="2" t="s">
        <v>1348</v>
      </c>
      <c r="G85" s="2" t="s">
        <v>7</v>
      </c>
      <c r="H85" s="2" t="s">
        <v>1508</v>
      </c>
      <c r="I85" s="2" t="s">
        <v>1345</v>
      </c>
      <c r="J85" s="2" t="s">
        <v>16</v>
      </c>
      <c r="K85" s="2">
        <v>100</v>
      </c>
      <c r="L85" s="2">
        <v>1.0999999999999999E-2</v>
      </c>
      <c r="M85" s="2" t="s">
        <v>1509</v>
      </c>
      <c r="N85" s="2" t="s">
        <v>1510</v>
      </c>
      <c r="O85" s="2" t="s">
        <v>1115</v>
      </c>
      <c r="P85" s="13" t="s">
        <v>1515</v>
      </c>
      <c r="Q85" s="13">
        <v>3</v>
      </c>
      <c r="R85" s="13" t="s">
        <v>1511</v>
      </c>
      <c r="S85" s="8"/>
    </row>
    <row r="86" spans="1:19" s="13" customFormat="1" ht="31" customHeight="1" x14ac:dyDescent="0.2">
      <c r="A86" s="2">
        <v>84</v>
      </c>
      <c r="B86" s="2" t="s">
        <v>1339</v>
      </c>
      <c r="C86" s="2" t="s">
        <v>1350</v>
      </c>
      <c r="D86" s="13">
        <v>103.134963</v>
      </c>
      <c r="E86" s="13">
        <v>26.248207000000001</v>
      </c>
      <c r="F86" s="2" t="s">
        <v>543</v>
      </c>
      <c r="G86" s="2" t="s">
        <v>8</v>
      </c>
      <c r="H86" s="2" t="s">
        <v>1201</v>
      </c>
      <c r="I86" s="2" t="s">
        <v>1345</v>
      </c>
      <c r="J86" s="2" t="s">
        <v>16</v>
      </c>
      <c r="K86" s="2">
        <v>100</v>
      </c>
      <c r="L86" s="2">
        <v>0.03</v>
      </c>
      <c r="M86" s="2" t="s">
        <v>1199</v>
      </c>
      <c r="N86" s="2" t="s">
        <v>1200</v>
      </c>
      <c r="O86" s="2" t="s">
        <v>1115</v>
      </c>
      <c r="P86" s="13" t="s">
        <v>1513</v>
      </c>
      <c r="Q86" s="13">
        <v>3</v>
      </c>
      <c r="R86" s="13" t="s">
        <v>1364</v>
      </c>
      <c r="S86" s="8"/>
    </row>
    <row r="87" spans="1:19" s="13" customFormat="1" ht="31" customHeight="1" x14ac:dyDescent="0.2">
      <c r="A87" s="2">
        <v>85</v>
      </c>
      <c r="B87" s="2" t="s">
        <v>1339</v>
      </c>
      <c r="C87" s="2" t="s">
        <v>66</v>
      </c>
      <c r="D87" s="13">
        <v>85.221703000000005</v>
      </c>
      <c r="E87" s="13">
        <v>28.025100999999999</v>
      </c>
      <c r="F87" s="2" t="s">
        <v>543</v>
      </c>
      <c r="G87" s="2" t="s">
        <v>19</v>
      </c>
      <c r="H87" s="2" t="s">
        <v>20</v>
      </c>
      <c r="I87" s="2" t="s">
        <v>1345</v>
      </c>
      <c r="J87" s="2" t="s">
        <v>16</v>
      </c>
      <c r="K87" s="1">
        <v>50</v>
      </c>
      <c r="L87" s="2">
        <v>2.8</v>
      </c>
      <c r="M87" s="2" t="s">
        <v>1496</v>
      </c>
      <c r="N87" s="2" t="s">
        <v>1472</v>
      </c>
      <c r="O87" s="2" t="s">
        <v>1115</v>
      </c>
      <c r="P87" s="13" t="s">
        <v>1513</v>
      </c>
      <c r="Q87" s="13">
        <v>2</v>
      </c>
      <c r="R87" s="13" t="s">
        <v>1364</v>
      </c>
      <c r="S87" s="8"/>
    </row>
    <row r="88" spans="1:19" s="13" customFormat="1" ht="31" customHeight="1" x14ac:dyDescent="0.2">
      <c r="A88" s="2">
        <v>86</v>
      </c>
      <c r="B88" s="2" t="s">
        <v>1339</v>
      </c>
      <c r="C88" s="2" t="s">
        <v>1351</v>
      </c>
      <c r="D88" s="13">
        <v>85.92071</v>
      </c>
      <c r="E88" s="13">
        <v>27.905180000000001</v>
      </c>
      <c r="F88" s="2" t="s">
        <v>543</v>
      </c>
      <c r="G88" s="2" t="s">
        <v>22</v>
      </c>
      <c r="H88" s="2" t="s">
        <v>1205</v>
      </c>
      <c r="I88" s="2" t="s">
        <v>1345</v>
      </c>
      <c r="J88" s="2" t="s">
        <v>13</v>
      </c>
      <c r="K88" s="2">
        <v>100</v>
      </c>
      <c r="L88" s="2">
        <v>0.2</v>
      </c>
      <c r="M88" s="2" t="s">
        <v>1420</v>
      </c>
      <c r="N88" s="2" t="s">
        <v>1204</v>
      </c>
      <c r="O88" s="2" t="s">
        <v>1203</v>
      </c>
      <c r="P88" s="13" t="s">
        <v>1513</v>
      </c>
      <c r="Q88" s="13">
        <v>1</v>
      </c>
      <c r="R88" s="13" t="s">
        <v>1364</v>
      </c>
      <c r="S88" s="8"/>
    </row>
    <row r="89" spans="1:19" s="13" customFormat="1" ht="31" customHeight="1" x14ac:dyDescent="0.2">
      <c r="A89" s="2">
        <v>87</v>
      </c>
      <c r="B89" s="2" t="s">
        <v>1352</v>
      </c>
      <c r="C89" s="2" t="s">
        <v>75</v>
      </c>
      <c r="D89" s="13">
        <v>175.63300000000001</v>
      </c>
      <c r="E89" s="13">
        <v>-39.409999999999997</v>
      </c>
      <c r="F89" s="2" t="s">
        <v>1349</v>
      </c>
      <c r="G89" s="2" t="s">
        <v>21</v>
      </c>
      <c r="H89" s="2" t="s">
        <v>1206</v>
      </c>
      <c r="I89" s="2" t="s">
        <v>1345</v>
      </c>
      <c r="J89" s="2" t="s">
        <v>16</v>
      </c>
      <c r="K89" s="2">
        <v>100</v>
      </c>
      <c r="L89" s="2">
        <v>0.01</v>
      </c>
      <c r="M89" s="2" t="s">
        <v>1421</v>
      </c>
      <c r="N89" s="2" t="s">
        <v>1473</v>
      </c>
      <c r="O89" s="2" t="s">
        <v>1203</v>
      </c>
      <c r="P89" s="13" t="s">
        <v>1513</v>
      </c>
      <c r="Q89" s="13">
        <v>1</v>
      </c>
      <c r="R89" s="13" t="s">
        <v>1364</v>
      </c>
      <c r="S89" s="8"/>
    </row>
    <row r="90" spans="1:19" s="36" customFormat="1" ht="31" customHeight="1" x14ac:dyDescent="0.2">
      <c r="A90" s="35"/>
      <c r="B90" s="35"/>
      <c r="C90" s="35"/>
      <c r="F90" s="35"/>
      <c r="G90" s="35"/>
      <c r="H90" s="35"/>
      <c r="I90" s="35"/>
      <c r="J90" s="35"/>
      <c r="K90" s="35"/>
      <c r="L90" s="35"/>
      <c r="O90" s="35"/>
      <c r="S90" s="37"/>
    </row>
    <row r="91" spans="1:19" s="2" customFormat="1" ht="31" customHeight="1" x14ac:dyDescent="0.2">
      <c r="A91" s="2">
        <v>88</v>
      </c>
      <c r="B91" s="2" t="s">
        <v>1338</v>
      </c>
      <c r="C91" s="2" t="s">
        <v>1314</v>
      </c>
      <c r="D91" s="2">
        <v>13.898199999999999</v>
      </c>
      <c r="E91" s="2">
        <v>40.731900000000003</v>
      </c>
      <c r="F91" s="2" t="s">
        <v>267</v>
      </c>
      <c r="G91" s="2" t="s">
        <v>1087</v>
      </c>
      <c r="H91" s="2" t="s">
        <v>1086</v>
      </c>
      <c r="I91" s="2" t="s">
        <v>1345</v>
      </c>
      <c r="J91" s="2" t="s">
        <v>14</v>
      </c>
      <c r="K91" s="2">
        <v>100</v>
      </c>
      <c r="L91" s="2">
        <v>1.3</v>
      </c>
      <c r="M91" s="2" t="s">
        <v>1219</v>
      </c>
      <c r="N91" s="2" t="s">
        <v>1220</v>
      </c>
      <c r="O91" s="2" t="s">
        <v>1115</v>
      </c>
      <c r="P91" s="13" t="s">
        <v>1513</v>
      </c>
      <c r="Q91" s="13">
        <v>7</v>
      </c>
      <c r="R91" s="2">
        <v>0</v>
      </c>
      <c r="S91" s="25" t="s">
        <v>1519</v>
      </c>
    </row>
    <row r="92" spans="1:19" ht="31" customHeight="1" x14ac:dyDescent="0.2">
      <c r="A92" s="2">
        <v>89</v>
      </c>
      <c r="B92" s="2" t="s">
        <v>1335</v>
      </c>
      <c r="C92" s="2" t="s">
        <v>1320</v>
      </c>
      <c r="D92" s="2">
        <v>-105.6835</v>
      </c>
      <c r="E92" s="2">
        <v>40.302</v>
      </c>
      <c r="F92" s="2" t="s">
        <v>267</v>
      </c>
      <c r="G92" s="2" t="s">
        <v>1095</v>
      </c>
      <c r="H92" s="2" t="s">
        <v>1094</v>
      </c>
      <c r="I92" s="2" t="s">
        <v>1343</v>
      </c>
      <c r="J92" s="2" t="s">
        <v>13</v>
      </c>
      <c r="K92" s="2">
        <v>100</v>
      </c>
      <c r="L92" s="2">
        <v>30.7</v>
      </c>
      <c r="M92" s="2" t="s">
        <v>1221</v>
      </c>
      <c r="N92" s="2" t="s">
        <v>1222</v>
      </c>
      <c r="O92" s="2" t="s">
        <v>1115</v>
      </c>
      <c r="P92" s="13" t="s">
        <v>1514</v>
      </c>
      <c r="Q92" s="2">
        <v>7</v>
      </c>
      <c r="R92" s="2" t="s">
        <v>1096</v>
      </c>
      <c r="S92" s="25" t="s">
        <v>1519</v>
      </c>
    </row>
    <row r="93" spans="1:19" ht="31" customHeight="1" x14ac:dyDescent="0.2">
      <c r="A93" s="2">
        <v>90</v>
      </c>
      <c r="B93" s="2" t="s">
        <v>1335</v>
      </c>
      <c r="C93" s="2" t="s">
        <v>1323</v>
      </c>
      <c r="D93" s="2">
        <v>-121.49862</v>
      </c>
      <c r="E93" s="2">
        <v>46.201749999999997</v>
      </c>
      <c r="F93" s="2" t="s">
        <v>267</v>
      </c>
      <c r="G93" s="2" t="s">
        <v>104</v>
      </c>
      <c r="H93" s="2" t="s">
        <v>1210</v>
      </c>
      <c r="I93" s="2" t="s">
        <v>1345</v>
      </c>
      <c r="J93" s="2" t="s">
        <v>14</v>
      </c>
      <c r="K93" s="2">
        <v>100</v>
      </c>
      <c r="L93" s="2">
        <v>31.8</v>
      </c>
      <c r="M93" s="2" t="s">
        <v>1239</v>
      </c>
      <c r="N93" s="2" t="s">
        <v>1240</v>
      </c>
      <c r="O93" s="2" t="s">
        <v>138</v>
      </c>
      <c r="P93" s="2" t="s">
        <v>1514</v>
      </c>
      <c r="Q93" s="2">
        <v>7</v>
      </c>
      <c r="R93" s="2" t="s">
        <v>1096</v>
      </c>
      <c r="S93" s="25" t="s">
        <v>1519</v>
      </c>
    </row>
    <row r="94" spans="1:19" ht="31" customHeight="1" x14ac:dyDescent="0.2">
      <c r="A94" s="2">
        <v>91</v>
      </c>
      <c r="B94" s="2" t="s">
        <v>1335</v>
      </c>
      <c r="C94" s="2" t="s">
        <v>1324</v>
      </c>
      <c r="D94" s="2">
        <v>-121.86256</v>
      </c>
      <c r="E94" s="2">
        <v>48.746679999999998</v>
      </c>
      <c r="F94" s="2" t="s">
        <v>267</v>
      </c>
      <c r="G94" s="2" t="s">
        <v>104</v>
      </c>
      <c r="H94" s="2" t="s">
        <v>105</v>
      </c>
      <c r="I94" s="2" t="s">
        <v>1345</v>
      </c>
      <c r="J94" s="2" t="s">
        <v>14</v>
      </c>
      <c r="K94" s="2">
        <v>100</v>
      </c>
      <c r="L94" s="2">
        <v>5</v>
      </c>
      <c r="M94" s="2" t="s">
        <v>1422</v>
      </c>
      <c r="N94" s="2" t="s">
        <v>1242</v>
      </c>
      <c r="O94" s="2" t="s">
        <v>1399</v>
      </c>
      <c r="P94" s="8" t="s">
        <v>1514</v>
      </c>
      <c r="Q94" s="2">
        <v>1</v>
      </c>
      <c r="R94" s="2">
        <v>0</v>
      </c>
      <c r="S94" s="25" t="s">
        <v>1519</v>
      </c>
    </row>
    <row r="95" spans="1:19" ht="31" customHeight="1" x14ac:dyDescent="0.2">
      <c r="A95" s="2">
        <v>92</v>
      </c>
      <c r="B95" s="2" t="s">
        <v>1335</v>
      </c>
      <c r="C95" s="2" t="s">
        <v>1333</v>
      </c>
      <c r="D95" s="2">
        <v>-121.6999</v>
      </c>
      <c r="E95" s="2">
        <v>45.346299999999999</v>
      </c>
      <c r="F95" s="2" t="s">
        <v>267</v>
      </c>
      <c r="G95" s="2" t="s">
        <v>6</v>
      </c>
      <c r="H95" s="2" t="s">
        <v>1111</v>
      </c>
      <c r="I95" s="2" t="s">
        <v>1345</v>
      </c>
      <c r="J95" s="2" t="s">
        <v>14</v>
      </c>
      <c r="K95" s="1">
        <v>50</v>
      </c>
      <c r="L95" s="2">
        <v>1.4</v>
      </c>
      <c r="M95" s="2" t="s">
        <v>1475</v>
      </c>
      <c r="N95" s="2" t="s">
        <v>1304</v>
      </c>
      <c r="O95" s="2" t="s">
        <v>1115</v>
      </c>
      <c r="P95" s="8" t="s">
        <v>1513</v>
      </c>
      <c r="Q95" s="2">
        <v>3</v>
      </c>
      <c r="R95" s="2">
        <v>0</v>
      </c>
      <c r="S95" s="25" t="s">
        <v>1519</v>
      </c>
    </row>
    <row r="96" spans="1:19" ht="31" customHeight="1" x14ac:dyDescent="0.2">
      <c r="A96" s="2">
        <v>93</v>
      </c>
      <c r="B96" s="2" t="s">
        <v>1335</v>
      </c>
      <c r="C96" s="2" t="s">
        <v>1333</v>
      </c>
      <c r="D96" s="2">
        <v>-121.6999</v>
      </c>
      <c r="E96" s="2">
        <v>45.346299999999999</v>
      </c>
      <c r="F96" s="2" t="s">
        <v>267</v>
      </c>
      <c r="G96" s="2" t="s">
        <v>6</v>
      </c>
      <c r="H96" s="2" t="s">
        <v>1111</v>
      </c>
      <c r="I96" s="2" t="s">
        <v>1345</v>
      </c>
      <c r="J96" s="2" t="s">
        <v>14</v>
      </c>
      <c r="K96" s="1">
        <v>50</v>
      </c>
      <c r="L96" s="2">
        <v>1.4</v>
      </c>
      <c r="M96" s="2" t="s">
        <v>1477</v>
      </c>
      <c r="N96" s="2" t="s">
        <v>1308</v>
      </c>
      <c r="O96" s="2" t="s">
        <v>1115</v>
      </c>
      <c r="P96" s="8" t="s">
        <v>1513</v>
      </c>
      <c r="Q96" s="2">
        <v>1</v>
      </c>
      <c r="R96" s="2">
        <v>0</v>
      </c>
      <c r="S96" s="25" t="s">
        <v>1519</v>
      </c>
    </row>
    <row r="97" spans="1:19" ht="31" customHeight="1" x14ac:dyDescent="0.2">
      <c r="A97" s="2">
        <v>94</v>
      </c>
      <c r="B97" s="2" t="s">
        <v>1335</v>
      </c>
      <c r="C97" s="2" t="s">
        <v>1333</v>
      </c>
      <c r="D97" s="2">
        <v>-121.6999</v>
      </c>
      <c r="E97" s="2">
        <v>45.346299999999999</v>
      </c>
      <c r="F97" s="2" t="s">
        <v>267</v>
      </c>
      <c r="G97" s="2" t="s">
        <v>6</v>
      </c>
      <c r="H97" s="2" t="s">
        <v>1111</v>
      </c>
      <c r="I97" s="2" t="s">
        <v>1345</v>
      </c>
      <c r="J97" s="2" t="s">
        <v>14</v>
      </c>
      <c r="K97" s="1">
        <v>50</v>
      </c>
      <c r="L97" s="2">
        <v>1.4</v>
      </c>
      <c r="M97" s="2" t="s">
        <v>1476</v>
      </c>
      <c r="N97" s="2" t="s">
        <v>1306</v>
      </c>
      <c r="O97" s="2" t="s">
        <v>1115</v>
      </c>
      <c r="P97" s="8" t="s">
        <v>1513</v>
      </c>
      <c r="Q97" s="2">
        <v>2</v>
      </c>
      <c r="R97" s="2">
        <v>0</v>
      </c>
      <c r="S97" s="25" t="s">
        <v>1519</v>
      </c>
    </row>
    <row r="98" spans="1:19" ht="31" customHeight="1" x14ac:dyDescent="0.2">
      <c r="A98" s="2">
        <v>95</v>
      </c>
      <c r="B98" s="2" t="s">
        <v>1335</v>
      </c>
      <c r="C98" s="2" t="s">
        <v>1325</v>
      </c>
      <c r="D98" s="2">
        <v>-122.4511</v>
      </c>
      <c r="E98" s="2">
        <v>50.344799999999999</v>
      </c>
      <c r="F98" s="2" t="s">
        <v>267</v>
      </c>
      <c r="G98" s="2" t="s">
        <v>1207</v>
      </c>
      <c r="H98" s="2" t="s">
        <v>1212</v>
      </c>
      <c r="I98" s="2" t="s">
        <v>1345</v>
      </c>
      <c r="J98" s="2" t="s">
        <v>13</v>
      </c>
      <c r="K98" s="1">
        <v>50</v>
      </c>
      <c r="L98" s="2">
        <v>41.4</v>
      </c>
      <c r="M98" s="2" t="s">
        <v>1243</v>
      </c>
      <c r="N98" s="2" t="s">
        <v>1244</v>
      </c>
      <c r="O98" s="2" t="s">
        <v>1400</v>
      </c>
      <c r="P98" s="8" t="s">
        <v>1514</v>
      </c>
      <c r="Q98" s="2">
        <v>7</v>
      </c>
      <c r="R98" s="2" t="s">
        <v>1096</v>
      </c>
      <c r="S98" s="25" t="s">
        <v>1519</v>
      </c>
    </row>
    <row r="99" spans="1:19" ht="31" customHeight="1" x14ac:dyDescent="0.2">
      <c r="A99" s="2">
        <v>96</v>
      </c>
      <c r="B99" s="2" t="s">
        <v>1335</v>
      </c>
      <c r="C99" s="2" t="s">
        <v>1325</v>
      </c>
      <c r="D99" s="2">
        <v>-122.44880000000001</v>
      </c>
      <c r="E99" s="2">
        <v>50.3431</v>
      </c>
      <c r="F99" s="2" t="s">
        <v>267</v>
      </c>
      <c r="G99" s="2" t="s">
        <v>1207</v>
      </c>
      <c r="H99" s="2" t="s">
        <v>1212</v>
      </c>
      <c r="I99" s="2" t="s">
        <v>1345</v>
      </c>
      <c r="J99" s="2" t="s">
        <v>13</v>
      </c>
      <c r="K99" s="1">
        <v>50</v>
      </c>
      <c r="L99" s="2">
        <v>41.4</v>
      </c>
      <c r="M99" s="2" t="s">
        <v>1245</v>
      </c>
      <c r="N99" s="2" t="s">
        <v>1246</v>
      </c>
      <c r="O99" s="2" t="s">
        <v>1400</v>
      </c>
      <c r="P99" s="8" t="s">
        <v>1515</v>
      </c>
      <c r="Q99" s="2">
        <v>7</v>
      </c>
      <c r="R99" s="2" t="s">
        <v>1096</v>
      </c>
      <c r="S99" s="25" t="s">
        <v>1519</v>
      </c>
    </row>
    <row r="100" spans="1:19" ht="31" customHeight="1" x14ac:dyDescent="0.2">
      <c r="A100" s="2">
        <v>97</v>
      </c>
      <c r="B100" s="2" t="s">
        <v>1335</v>
      </c>
      <c r="C100" s="2" t="s">
        <v>1327</v>
      </c>
      <c r="D100" s="2">
        <v>-121.81323</v>
      </c>
      <c r="E100" s="2">
        <v>46.819339999999997</v>
      </c>
      <c r="F100" s="2" t="s">
        <v>267</v>
      </c>
      <c r="G100" s="2" t="s">
        <v>104</v>
      </c>
      <c r="H100" s="2" t="s">
        <v>1100</v>
      </c>
      <c r="I100" s="2" t="s">
        <v>1345</v>
      </c>
      <c r="J100" s="2" t="s">
        <v>14</v>
      </c>
      <c r="K100" s="2">
        <v>100</v>
      </c>
      <c r="L100" s="2">
        <v>2.5</v>
      </c>
      <c r="M100" s="2" t="s">
        <v>1478</v>
      </c>
      <c r="N100" s="2" t="s">
        <v>1252</v>
      </c>
      <c r="O100" s="2" t="s">
        <v>1402</v>
      </c>
      <c r="P100" s="8" t="s">
        <v>1513</v>
      </c>
      <c r="Q100" s="2">
        <v>4</v>
      </c>
      <c r="R100" s="2">
        <v>0</v>
      </c>
      <c r="S100" s="25" t="s">
        <v>1519</v>
      </c>
    </row>
    <row r="101" spans="1:19" ht="31" customHeight="1" x14ac:dyDescent="0.2">
      <c r="A101" s="2">
        <v>98</v>
      </c>
      <c r="B101" s="2" t="s">
        <v>1335</v>
      </c>
      <c r="C101" s="2" t="s">
        <v>1327</v>
      </c>
      <c r="D101" s="2">
        <v>-121.81</v>
      </c>
      <c r="E101" s="2">
        <v>46.819099999999999</v>
      </c>
      <c r="F101" s="2" t="s">
        <v>267</v>
      </c>
      <c r="G101" s="2" t="s">
        <v>104</v>
      </c>
      <c r="H101" s="2" t="s">
        <v>1100</v>
      </c>
      <c r="I101" s="2" t="s">
        <v>1345</v>
      </c>
      <c r="J101" s="2" t="s">
        <v>14</v>
      </c>
      <c r="K101" s="2">
        <v>100</v>
      </c>
      <c r="L101" s="2">
        <v>2.5</v>
      </c>
      <c r="M101" s="2" t="s">
        <v>1479</v>
      </c>
      <c r="N101" s="2" t="s">
        <v>1300</v>
      </c>
      <c r="O101" s="2" t="s">
        <v>1402</v>
      </c>
      <c r="P101" s="8" t="s">
        <v>1513</v>
      </c>
      <c r="Q101" s="2">
        <v>6</v>
      </c>
      <c r="R101" s="2">
        <v>0</v>
      </c>
      <c r="S101" s="25" t="s">
        <v>1519</v>
      </c>
    </row>
    <row r="102" spans="1:19" ht="31" customHeight="1" x14ac:dyDescent="0.2">
      <c r="A102" s="2">
        <v>99</v>
      </c>
      <c r="B102" s="2" t="s">
        <v>1335</v>
      </c>
      <c r="C102" s="2" t="s">
        <v>1327</v>
      </c>
      <c r="D102" s="2">
        <v>-121.81</v>
      </c>
      <c r="E102" s="2">
        <v>46.819099999999999</v>
      </c>
      <c r="F102" s="2" t="s">
        <v>267</v>
      </c>
      <c r="G102" s="2" t="s">
        <v>104</v>
      </c>
      <c r="H102" s="2" t="s">
        <v>1100</v>
      </c>
      <c r="I102" s="2" t="s">
        <v>1345</v>
      </c>
      <c r="J102" s="2" t="s">
        <v>14</v>
      </c>
      <c r="K102" s="2">
        <v>100</v>
      </c>
      <c r="L102" s="2">
        <v>2.5</v>
      </c>
      <c r="M102" s="2" t="s">
        <v>1249</v>
      </c>
      <c r="N102" s="2" t="s">
        <v>1250</v>
      </c>
      <c r="O102" s="2" t="s">
        <v>1115</v>
      </c>
      <c r="P102" s="8" t="s">
        <v>1513</v>
      </c>
      <c r="Q102" s="2">
        <v>6</v>
      </c>
      <c r="R102" s="2">
        <v>0</v>
      </c>
      <c r="S102" s="25" t="s">
        <v>1519</v>
      </c>
    </row>
    <row r="103" spans="1:19" ht="31" customHeight="1" x14ac:dyDescent="0.2">
      <c r="A103" s="2">
        <v>100</v>
      </c>
      <c r="B103" s="2" t="s">
        <v>1335</v>
      </c>
      <c r="C103" s="2" t="s">
        <v>1318</v>
      </c>
      <c r="D103" s="2">
        <v>-122.19732</v>
      </c>
      <c r="E103" s="2">
        <v>41.399470000000001</v>
      </c>
      <c r="F103" s="2" t="s">
        <v>1365</v>
      </c>
      <c r="G103" s="2" t="s">
        <v>1084</v>
      </c>
      <c r="H103" s="2" t="s">
        <v>1104</v>
      </c>
      <c r="I103" s="2" t="s">
        <v>1342</v>
      </c>
      <c r="J103" s="2" t="s">
        <v>14</v>
      </c>
      <c r="K103" s="2">
        <v>100</v>
      </c>
      <c r="L103" s="2">
        <v>7.3</v>
      </c>
      <c r="M103" s="2" t="s">
        <v>1271</v>
      </c>
      <c r="N103" s="2" t="s">
        <v>1272</v>
      </c>
      <c r="O103" s="2" t="s">
        <v>1402</v>
      </c>
      <c r="P103" s="8" t="s">
        <v>1515</v>
      </c>
      <c r="Q103" s="2">
        <v>6</v>
      </c>
      <c r="R103" s="2" t="s">
        <v>1096</v>
      </c>
      <c r="S103" s="25" t="s">
        <v>1519</v>
      </c>
    </row>
    <row r="104" spans="1:19" ht="31" customHeight="1" x14ac:dyDescent="0.2">
      <c r="A104" s="2">
        <v>101</v>
      </c>
      <c r="B104" s="2" t="s">
        <v>1335</v>
      </c>
      <c r="C104" s="2" t="s">
        <v>1318</v>
      </c>
      <c r="D104" s="2">
        <v>-122.1855</v>
      </c>
      <c r="E104" s="2">
        <v>41.390700000000002</v>
      </c>
      <c r="F104" s="2" t="s">
        <v>1365</v>
      </c>
      <c r="G104" s="2" t="s">
        <v>1084</v>
      </c>
      <c r="H104" s="2" t="s">
        <v>1083</v>
      </c>
      <c r="I104" s="2" t="s">
        <v>1344</v>
      </c>
      <c r="J104" s="2" t="s">
        <v>13</v>
      </c>
      <c r="K104" s="2">
        <v>100</v>
      </c>
      <c r="L104" s="2">
        <v>5.2</v>
      </c>
      <c r="M104" s="2" t="s">
        <v>1480</v>
      </c>
      <c r="N104" s="2" t="s">
        <v>1268</v>
      </c>
      <c r="O104" s="2" t="s">
        <v>1115</v>
      </c>
      <c r="P104" s="8" t="s">
        <v>1513</v>
      </c>
      <c r="Q104" s="2">
        <v>4</v>
      </c>
      <c r="R104" s="2" t="s">
        <v>1423</v>
      </c>
      <c r="S104" s="25" t="s">
        <v>1519</v>
      </c>
    </row>
    <row r="105" spans="1:19" ht="31" customHeight="1" x14ac:dyDescent="0.2">
      <c r="A105" s="2">
        <v>102</v>
      </c>
      <c r="B105" s="2" t="s">
        <v>1335</v>
      </c>
      <c r="C105" s="2" t="s">
        <v>1318</v>
      </c>
      <c r="D105" s="2">
        <v>-122.1883</v>
      </c>
      <c r="E105" s="2">
        <v>41.392800000000001</v>
      </c>
      <c r="F105" s="2" t="s">
        <v>1365</v>
      </c>
      <c r="G105" s="2" t="s">
        <v>1084</v>
      </c>
      <c r="H105" s="2" t="s">
        <v>1083</v>
      </c>
      <c r="I105" s="2" t="s">
        <v>1344</v>
      </c>
      <c r="J105" s="2" t="s">
        <v>13</v>
      </c>
      <c r="K105" s="2">
        <v>100</v>
      </c>
      <c r="L105" s="2">
        <v>5.2</v>
      </c>
      <c r="M105" s="2" t="s">
        <v>1424</v>
      </c>
      <c r="N105" s="2" t="s">
        <v>1270</v>
      </c>
      <c r="O105" s="2" t="s">
        <v>1115</v>
      </c>
      <c r="P105" s="8" t="s">
        <v>1513</v>
      </c>
      <c r="Q105" s="2">
        <v>1</v>
      </c>
      <c r="R105" s="2">
        <v>0</v>
      </c>
      <c r="S105" s="25" t="s">
        <v>1519</v>
      </c>
    </row>
    <row r="106" spans="1:19" ht="31" customHeight="1" x14ac:dyDescent="0.2">
      <c r="A106" s="2">
        <v>103</v>
      </c>
      <c r="B106" s="2" t="s">
        <v>1335</v>
      </c>
      <c r="C106" s="2" t="s">
        <v>1318</v>
      </c>
      <c r="D106" s="2">
        <v>-122.2115</v>
      </c>
      <c r="E106" s="2">
        <v>41.419699999999999</v>
      </c>
      <c r="F106" s="2" t="s">
        <v>1365</v>
      </c>
      <c r="G106" s="2" t="s">
        <v>1084</v>
      </c>
      <c r="H106" s="2" t="s">
        <v>1112</v>
      </c>
      <c r="I106" s="2" t="s">
        <v>1345</v>
      </c>
      <c r="J106" s="2" t="s">
        <v>14</v>
      </c>
      <c r="K106" s="2">
        <v>100</v>
      </c>
      <c r="L106" s="2">
        <v>8.9</v>
      </c>
      <c r="M106" s="2" t="s">
        <v>1481</v>
      </c>
      <c r="N106" s="2" t="s">
        <v>1310</v>
      </c>
      <c r="O106" s="2" t="s">
        <v>1115</v>
      </c>
      <c r="P106" s="8" t="s">
        <v>1513</v>
      </c>
      <c r="Q106" s="2">
        <v>5</v>
      </c>
      <c r="R106" s="2">
        <v>0</v>
      </c>
      <c r="S106" s="25" t="s">
        <v>1519</v>
      </c>
    </row>
    <row r="107" spans="1:19" ht="31" customHeight="1" x14ac:dyDescent="0.2">
      <c r="A107" s="2">
        <v>104</v>
      </c>
      <c r="B107" s="2" t="s">
        <v>1335</v>
      </c>
      <c r="C107" s="2" t="s">
        <v>1318</v>
      </c>
      <c r="D107" s="2">
        <v>-122.1879</v>
      </c>
      <c r="E107" s="2">
        <v>41.409100000000002</v>
      </c>
      <c r="F107" s="2" t="s">
        <v>1365</v>
      </c>
      <c r="G107" s="2" t="s">
        <v>1084</v>
      </c>
      <c r="H107" s="2" t="s">
        <v>1112</v>
      </c>
      <c r="I107" s="2" t="s">
        <v>1345</v>
      </c>
      <c r="J107" s="2" t="s">
        <v>14</v>
      </c>
      <c r="K107" s="2">
        <v>100</v>
      </c>
      <c r="L107" s="2">
        <v>7.2</v>
      </c>
      <c r="M107" s="2" t="s">
        <v>1217</v>
      </c>
      <c r="N107" s="2" t="s">
        <v>1218</v>
      </c>
      <c r="O107" s="2" t="s">
        <v>1115</v>
      </c>
      <c r="P107" s="8" t="s">
        <v>1515</v>
      </c>
      <c r="Q107" s="2">
        <v>3</v>
      </c>
      <c r="R107" s="2">
        <v>0</v>
      </c>
      <c r="S107" s="25" t="s">
        <v>1519</v>
      </c>
    </row>
    <row r="108" spans="1:19" ht="31" customHeight="1" x14ac:dyDescent="0.2">
      <c r="A108" s="2">
        <v>105</v>
      </c>
      <c r="B108" s="2" t="s">
        <v>1335</v>
      </c>
      <c r="C108" s="2" t="s">
        <v>1318</v>
      </c>
      <c r="D108" s="2">
        <v>-122.2059</v>
      </c>
      <c r="E108" s="2">
        <v>41.429299999999998</v>
      </c>
      <c r="F108" s="2" t="s">
        <v>1365</v>
      </c>
      <c r="G108" s="2" t="s">
        <v>1084</v>
      </c>
      <c r="H108" s="2" t="s">
        <v>1112</v>
      </c>
      <c r="I108" s="2" t="s">
        <v>1345</v>
      </c>
      <c r="J108" s="2" t="s">
        <v>14</v>
      </c>
      <c r="K108" s="2">
        <v>100</v>
      </c>
      <c r="L108" s="2">
        <v>8.9</v>
      </c>
      <c r="M108" s="2" t="s">
        <v>1483</v>
      </c>
      <c r="N108" s="2" t="s">
        <v>1482</v>
      </c>
      <c r="O108" s="2" t="s">
        <v>1115</v>
      </c>
      <c r="P108" s="8" t="s">
        <v>1513</v>
      </c>
      <c r="Q108" s="2">
        <v>5</v>
      </c>
      <c r="R108" s="2">
        <v>0</v>
      </c>
      <c r="S108" s="25" t="s">
        <v>1519</v>
      </c>
    </row>
    <row r="109" spans="1:19" ht="31" customHeight="1" x14ac:dyDescent="0.2">
      <c r="A109" s="2">
        <v>106</v>
      </c>
      <c r="B109" s="2" t="s">
        <v>1335</v>
      </c>
      <c r="C109" s="2" t="s">
        <v>1328</v>
      </c>
      <c r="D109" s="2">
        <v>-152.16867999999999</v>
      </c>
      <c r="E109" s="2">
        <v>61.225940000000001</v>
      </c>
      <c r="F109" s="2" t="s">
        <v>267</v>
      </c>
      <c r="G109" s="2" t="s">
        <v>1102</v>
      </c>
      <c r="H109" s="2" t="s">
        <v>1101</v>
      </c>
      <c r="I109" s="2" t="s">
        <v>1345</v>
      </c>
      <c r="J109" s="2" t="s">
        <v>14</v>
      </c>
      <c r="K109" s="2">
        <v>100</v>
      </c>
      <c r="L109" s="2">
        <v>0.9</v>
      </c>
      <c r="M109" s="2" t="s">
        <v>1425</v>
      </c>
      <c r="N109" s="2" t="s">
        <v>1254</v>
      </c>
      <c r="O109" s="2" t="s">
        <v>144</v>
      </c>
      <c r="P109" s="8" t="s">
        <v>1515</v>
      </c>
      <c r="Q109" s="2">
        <v>1</v>
      </c>
      <c r="R109" s="2" t="s">
        <v>1096</v>
      </c>
      <c r="S109" s="25" t="s">
        <v>1519</v>
      </c>
    </row>
    <row r="110" spans="1:19" ht="31" customHeight="1" x14ac:dyDescent="0.2">
      <c r="A110" s="2">
        <v>107</v>
      </c>
      <c r="B110" s="2" t="s">
        <v>1335</v>
      </c>
      <c r="C110" s="2" t="s">
        <v>1328</v>
      </c>
      <c r="D110" s="2">
        <v>-152.1687</v>
      </c>
      <c r="E110" s="2">
        <v>61.225900000000003</v>
      </c>
      <c r="F110" s="2" t="s">
        <v>267</v>
      </c>
      <c r="G110" s="2" t="s">
        <v>1102</v>
      </c>
      <c r="H110" s="2" t="s">
        <v>1101</v>
      </c>
      <c r="I110" s="2" t="s">
        <v>1345</v>
      </c>
      <c r="J110" s="2" t="s">
        <v>14</v>
      </c>
      <c r="K110" s="2">
        <v>100</v>
      </c>
      <c r="L110" s="2">
        <v>0.9</v>
      </c>
      <c r="M110" s="2" t="s">
        <v>1426</v>
      </c>
      <c r="N110" s="2" t="s">
        <v>1258</v>
      </c>
      <c r="O110" s="2" t="s">
        <v>144</v>
      </c>
      <c r="P110" s="8" t="s">
        <v>1515</v>
      </c>
      <c r="Q110" s="2">
        <v>1</v>
      </c>
      <c r="R110" s="2" t="s">
        <v>1096</v>
      </c>
      <c r="S110" s="25" t="s">
        <v>1519</v>
      </c>
    </row>
    <row r="111" spans="1:19" ht="31" customHeight="1" x14ac:dyDescent="0.2">
      <c r="A111" s="2">
        <v>108</v>
      </c>
      <c r="B111" s="2" t="s">
        <v>1335</v>
      </c>
      <c r="C111" s="2" t="s">
        <v>1328</v>
      </c>
      <c r="D111" s="2">
        <v>-152.1687</v>
      </c>
      <c r="E111" s="2">
        <v>61.225900000000003</v>
      </c>
      <c r="F111" s="2" t="s">
        <v>267</v>
      </c>
      <c r="G111" s="2" t="s">
        <v>1102</v>
      </c>
      <c r="H111" s="2" t="s">
        <v>1101</v>
      </c>
      <c r="I111" s="2" t="s">
        <v>1345</v>
      </c>
      <c r="J111" s="2" t="s">
        <v>14</v>
      </c>
      <c r="K111" s="2">
        <v>100</v>
      </c>
      <c r="L111" s="2">
        <v>0.9</v>
      </c>
      <c r="M111" s="2" t="s">
        <v>1484</v>
      </c>
      <c r="N111" s="2" t="s">
        <v>1260</v>
      </c>
      <c r="O111" s="2" t="s">
        <v>144</v>
      </c>
      <c r="P111" s="8" t="s">
        <v>1513</v>
      </c>
      <c r="Q111" s="2">
        <v>1</v>
      </c>
      <c r="R111" s="2" t="s">
        <v>1096</v>
      </c>
      <c r="S111" s="25" t="s">
        <v>1519</v>
      </c>
    </row>
    <row r="112" spans="1:19" ht="31" customHeight="1" x14ac:dyDescent="0.2">
      <c r="A112" s="2">
        <v>109</v>
      </c>
      <c r="B112" s="2" t="s">
        <v>1335</v>
      </c>
      <c r="C112" s="2" t="s">
        <v>1329</v>
      </c>
      <c r="D112" s="2">
        <v>-122.191</v>
      </c>
      <c r="E112" s="2">
        <v>46.213000000000001</v>
      </c>
      <c r="F112" s="2" t="s">
        <v>267</v>
      </c>
      <c r="G112" s="2" t="s">
        <v>6</v>
      </c>
      <c r="H112" s="2" t="s">
        <v>1103</v>
      </c>
      <c r="I112" s="2" t="s">
        <v>1345</v>
      </c>
      <c r="J112" s="2" t="s">
        <v>16</v>
      </c>
      <c r="K112" s="38">
        <v>50</v>
      </c>
      <c r="L112" s="2">
        <v>0.2</v>
      </c>
      <c r="M112" s="2" t="s">
        <v>1261</v>
      </c>
      <c r="N112" s="2" t="s">
        <v>1262</v>
      </c>
      <c r="O112" s="2" t="s">
        <v>1115</v>
      </c>
      <c r="P112" s="8" t="s">
        <v>1513</v>
      </c>
      <c r="Q112" s="2">
        <v>3</v>
      </c>
      <c r="R112" s="2" t="s">
        <v>1096</v>
      </c>
      <c r="S112" s="25" t="s">
        <v>1519</v>
      </c>
    </row>
    <row r="113" spans="1:19" ht="31" customHeight="1" x14ac:dyDescent="0.2">
      <c r="A113" s="2">
        <v>110</v>
      </c>
      <c r="B113" s="2" t="s">
        <v>1335</v>
      </c>
      <c r="C113" s="2" t="s">
        <v>1329</v>
      </c>
      <c r="D113" s="2">
        <v>-122.21442</v>
      </c>
      <c r="E113" s="2">
        <v>46.205080000000002</v>
      </c>
      <c r="F113" s="2" t="s">
        <v>267</v>
      </c>
      <c r="G113" s="2" t="s">
        <v>6</v>
      </c>
      <c r="H113" s="2" t="s">
        <v>1103</v>
      </c>
      <c r="I113" s="2" t="s">
        <v>1345</v>
      </c>
      <c r="J113" s="2" t="s">
        <v>16</v>
      </c>
      <c r="K113" s="38">
        <v>50</v>
      </c>
      <c r="L113" s="2">
        <v>0.2</v>
      </c>
      <c r="M113" s="2" t="s">
        <v>1265</v>
      </c>
      <c r="N113" s="2" t="s">
        <v>1266</v>
      </c>
      <c r="O113" s="2" t="s">
        <v>1115</v>
      </c>
      <c r="P113" s="8" t="s">
        <v>1513</v>
      </c>
      <c r="Q113" s="2">
        <v>1</v>
      </c>
      <c r="R113" s="2" t="s">
        <v>1096</v>
      </c>
      <c r="S113" s="25" t="s">
        <v>1519</v>
      </c>
    </row>
    <row r="114" spans="1:19" ht="31" customHeight="1" x14ac:dyDescent="0.2">
      <c r="A114" s="2">
        <v>111</v>
      </c>
      <c r="B114" s="2" t="s">
        <v>1335</v>
      </c>
      <c r="C114" s="2" t="s">
        <v>1329</v>
      </c>
      <c r="D114" s="2">
        <v>-122.21442</v>
      </c>
      <c r="E114" s="2">
        <v>46.205080000000002</v>
      </c>
      <c r="F114" s="2" t="s">
        <v>267</v>
      </c>
      <c r="G114" s="2" t="s">
        <v>6</v>
      </c>
      <c r="H114" s="2" t="s">
        <v>1103</v>
      </c>
      <c r="I114" s="2" t="s">
        <v>1345</v>
      </c>
      <c r="J114" s="2" t="s">
        <v>16</v>
      </c>
      <c r="K114" s="38">
        <v>50</v>
      </c>
      <c r="L114" s="2">
        <v>0.2</v>
      </c>
      <c r="M114" s="2" t="s">
        <v>1263</v>
      </c>
      <c r="N114" s="2" t="s">
        <v>1264</v>
      </c>
      <c r="O114" s="2" t="s">
        <v>1115</v>
      </c>
      <c r="P114" s="8" t="s">
        <v>1513</v>
      </c>
      <c r="Q114" s="2">
        <v>3</v>
      </c>
      <c r="R114" s="2" t="s">
        <v>1096</v>
      </c>
      <c r="S114" s="25" t="s">
        <v>1519</v>
      </c>
    </row>
    <row r="115" spans="1:19" ht="31" customHeight="1" x14ac:dyDescent="0.2">
      <c r="A115" s="2">
        <v>112</v>
      </c>
      <c r="B115" s="2" t="s">
        <v>1335</v>
      </c>
      <c r="C115" s="2" t="s">
        <v>1317</v>
      </c>
      <c r="D115" s="2">
        <v>-121.85259000000001</v>
      </c>
      <c r="E115" s="2">
        <v>48.28631</v>
      </c>
      <c r="F115" s="2" t="s">
        <v>267</v>
      </c>
      <c r="G115" s="2" t="s">
        <v>104</v>
      </c>
      <c r="H115" s="2" t="s">
        <v>1213</v>
      </c>
      <c r="I115" s="2" t="s">
        <v>1345</v>
      </c>
      <c r="J115" s="2" t="s">
        <v>14</v>
      </c>
      <c r="K115" s="2">
        <v>100</v>
      </c>
      <c r="L115" s="2">
        <v>11.5</v>
      </c>
      <c r="M115" s="2" t="s">
        <v>1427</v>
      </c>
      <c r="N115" s="2" t="s">
        <v>1276</v>
      </c>
      <c r="O115" s="2" t="s">
        <v>1403</v>
      </c>
      <c r="P115" s="8" t="s">
        <v>1515</v>
      </c>
      <c r="Q115" s="2">
        <v>7</v>
      </c>
      <c r="R115" s="2" t="s">
        <v>1096</v>
      </c>
      <c r="S115" s="25" t="s">
        <v>1519</v>
      </c>
    </row>
    <row r="116" spans="1:19" ht="31" customHeight="1" x14ac:dyDescent="0.2">
      <c r="A116" s="2">
        <v>113</v>
      </c>
      <c r="B116" s="2" t="s">
        <v>1335</v>
      </c>
      <c r="C116" s="2" t="s">
        <v>1317</v>
      </c>
      <c r="D116" s="2">
        <v>-121.85026000000001</v>
      </c>
      <c r="E116" s="2">
        <v>48.2866</v>
      </c>
      <c r="F116" s="2" t="s">
        <v>267</v>
      </c>
      <c r="G116" s="2" t="s">
        <v>104</v>
      </c>
      <c r="H116" s="2" t="s">
        <v>1213</v>
      </c>
      <c r="I116" s="2" t="s">
        <v>1345</v>
      </c>
      <c r="J116" s="2" t="s">
        <v>14</v>
      </c>
      <c r="K116" s="2">
        <v>100</v>
      </c>
      <c r="L116" s="2">
        <v>11.7</v>
      </c>
      <c r="M116" s="2" t="s">
        <v>1485</v>
      </c>
      <c r="N116" s="2" t="s">
        <v>1280</v>
      </c>
      <c r="O116" s="2" t="s">
        <v>190</v>
      </c>
      <c r="P116" s="8" t="s">
        <v>1515</v>
      </c>
      <c r="Q116" s="2">
        <v>7</v>
      </c>
      <c r="R116" s="2" t="s">
        <v>1096</v>
      </c>
      <c r="S116" s="25" t="s">
        <v>1519</v>
      </c>
    </row>
    <row r="117" spans="1:19" ht="31" customHeight="1" x14ac:dyDescent="0.2">
      <c r="A117" s="2">
        <v>114</v>
      </c>
      <c r="B117" s="2" t="s">
        <v>1335</v>
      </c>
      <c r="C117" s="2" t="s">
        <v>1317</v>
      </c>
      <c r="D117" s="2">
        <v>-121.85026000000001</v>
      </c>
      <c r="E117" s="2">
        <v>48.286630000000002</v>
      </c>
      <c r="F117" s="2" t="s">
        <v>267</v>
      </c>
      <c r="G117" s="2" t="s">
        <v>6</v>
      </c>
      <c r="H117" s="2" t="s">
        <v>1106</v>
      </c>
      <c r="I117" s="2" t="s">
        <v>1345</v>
      </c>
      <c r="J117" s="2" t="s">
        <v>14</v>
      </c>
      <c r="K117" s="38">
        <v>50</v>
      </c>
      <c r="L117" s="2">
        <v>0.2</v>
      </c>
      <c r="M117" s="2" t="s">
        <v>1277</v>
      </c>
      <c r="N117" s="2" t="s">
        <v>1278</v>
      </c>
      <c r="O117" s="2" t="s">
        <v>190</v>
      </c>
      <c r="P117" s="8" t="s">
        <v>1514</v>
      </c>
      <c r="Q117" s="2">
        <v>7</v>
      </c>
      <c r="R117" s="2">
        <v>0</v>
      </c>
      <c r="S117" s="25" t="s">
        <v>1519</v>
      </c>
    </row>
    <row r="118" spans="1:19" ht="31" customHeight="1" x14ac:dyDescent="0.2">
      <c r="A118" s="2">
        <v>115</v>
      </c>
      <c r="B118" s="2" t="s">
        <v>1335</v>
      </c>
      <c r="C118" s="2" t="s">
        <v>583</v>
      </c>
      <c r="D118" s="2">
        <v>-152.76268999999999</v>
      </c>
      <c r="E118" s="2">
        <v>60.49044</v>
      </c>
      <c r="F118" s="2" t="s">
        <v>267</v>
      </c>
      <c r="G118" s="2" t="s">
        <v>1102</v>
      </c>
      <c r="H118" s="2" t="s">
        <v>1107</v>
      </c>
      <c r="I118" s="2" t="s">
        <v>1345</v>
      </c>
      <c r="J118" s="2" t="s">
        <v>16</v>
      </c>
      <c r="K118" s="38">
        <v>50</v>
      </c>
      <c r="L118" s="2">
        <v>3.7</v>
      </c>
      <c r="M118" s="2" t="s">
        <v>1376</v>
      </c>
      <c r="N118" s="2" t="s">
        <v>1282</v>
      </c>
      <c r="O118" s="2" t="s">
        <v>1354</v>
      </c>
      <c r="P118" s="8" t="s">
        <v>1515</v>
      </c>
      <c r="Q118" s="2">
        <v>1</v>
      </c>
      <c r="R118" s="2" t="s">
        <v>1108</v>
      </c>
      <c r="S118" s="25" t="s">
        <v>1519</v>
      </c>
    </row>
    <row r="119" spans="1:19" ht="31" customHeight="1" x14ac:dyDescent="0.2">
      <c r="A119" s="2">
        <v>116</v>
      </c>
      <c r="B119" s="2" t="s">
        <v>1335</v>
      </c>
      <c r="C119" s="2" t="s">
        <v>583</v>
      </c>
      <c r="D119" s="2">
        <v>-152.76268999999999</v>
      </c>
      <c r="E119" s="2">
        <v>60.49044</v>
      </c>
      <c r="F119" s="2" t="s">
        <v>267</v>
      </c>
      <c r="G119" s="2" t="s">
        <v>1102</v>
      </c>
      <c r="H119" s="2" t="s">
        <v>1107</v>
      </c>
      <c r="I119" s="2" t="s">
        <v>1345</v>
      </c>
      <c r="J119" s="2" t="s">
        <v>16</v>
      </c>
      <c r="K119" s="38">
        <v>50</v>
      </c>
      <c r="L119" s="2">
        <v>3.7</v>
      </c>
      <c r="M119" s="2" t="s">
        <v>1368</v>
      </c>
      <c r="N119" s="2" t="s">
        <v>1286</v>
      </c>
      <c r="O119" s="2" t="s">
        <v>1354</v>
      </c>
      <c r="P119" s="8" t="s">
        <v>1515</v>
      </c>
      <c r="Q119" s="2">
        <v>1</v>
      </c>
      <c r="R119" s="2" t="s">
        <v>1108</v>
      </c>
      <c r="S119" s="25" t="s">
        <v>1519</v>
      </c>
    </row>
    <row r="120" spans="1:19" ht="31" customHeight="1" x14ac:dyDescent="0.2">
      <c r="A120" s="2">
        <v>117</v>
      </c>
      <c r="B120" s="2" t="s">
        <v>1335</v>
      </c>
      <c r="C120" s="2" t="s">
        <v>583</v>
      </c>
      <c r="D120" s="2">
        <v>-152.76268999999999</v>
      </c>
      <c r="E120" s="2">
        <v>60.49044</v>
      </c>
      <c r="F120" s="2" t="s">
        <v>267</v>
      </c>
      <c r="G120" s="2" t="s">
        <v>1102</v>
      </c>
      <c r="H120" s="2" t="s">
        <v>1107</v>
      </c>
      <c r="I120" s="2" t="s">
        <v>1345</v>
      </c>
      <c r="J120" s="2" t="s">
        <v>16</v>
      </c>
      <c r="K120" s="38">
        <v>50</v>
      </c>
      <c r="L120" s="2">
        <v>3.7</v>
      </c>
      <c r="M120" s="2" t="s">
        <v>1374</v>
      </c>
      <c r="N120" s="2" t="s">
        <v>1369</v>
      </c>
      <c r="O120" s="2" t="s">
        <v>1354</v>
      </c>
      <c r="P120" s="8" t="s">
        <v>1515</v>
      </c>
      <c r="Q120" s="2">
        <v>1</v>
      </c>
      <c r="R120" s="2" t="s">
        <v>1108</v>
      </c>
      <c r="S120" s="25" t="s">
        <v>1519</v>
      </c>
    </row>
    <row r="121" spans="1:19" ht="31" customHeight="1" x14ac:dyDescent="0.2">
      <c r="A121" s="2">
        <v>118</v>
      </c>
      <c r="B121" s="2" t="s">
        <v>1335</v>
      </c>
      <c r="C121" s="2" t="s">
        <v>583</v>
      </c>
      <c r="D121" s="2">
        <v>-152.76268999999999</v>
      </c>
      <c r="E121" s="2">
        <v>60.49044</v>
      </c>
      <c r="F121" s="2" t="s">
        <v>267</v>
      </c>
      <c r="G121" s="2" t="s">
        <v>1102</v>
      </c>
      <c r="H121" s="2" t="s">
        <v>1107</v>
      </c>
      <c r="I121" s="2" t="s">
        <v>1345</v>
      </c>
      <c r="J121" s="2" t="s">
        <v>16</v>
      </c>
      <c r="K121" s="38">
        <v>50</v>
      </c>
      <c r="L121" s="2">
        <v>3.7</v>
      </c>
      <c r="M121" s="2" t="s">
        <v>1370</v>
      </c>
      <c r="N121" s="2" t="s">
        <v>1371</v>
      </c>
      <c r="O121" s="2" t="s">
        <v>1354</v>
      </c>
      <c r="P121" s="8" t="s">
        <v>1515</v>
      </c>
      <c r="Q121" s="2">
        <v>1</v>
      </c>
      <c r="R121" s="2" t="s">
        <v>1108</v>
      </c>
      <c r="S121" s="25" t="s">
        <v>1519</v>
      </c>
    </row>
    <row r="122" spans="1:19" ht="31" customHeight="1" x14ac:dyDescent="0.2">
      <c r="A122" s="2">
        <v>119</v>
      </c>
      <c r="B122" s="2" t="s">
        <v>1335</v>
      </c>
      <c r="C122" s="2" t="s">
        <v>583</v>
      </c>
      <c r="D122" s="2">
        <v>-152.76268999999999</v>
      </c>
      <c r="E122" s="2">
        <v>60.49044</v>
      </c>
      <c r="F122" s="2" t="s">
        <v>267</v>
      </c>
      <c r="G122" s="2" t="s">
        <v>1102</v>
      </c>
      <c r="H122" s="2" t="s">
        <v>1107</v>
      </c>
      <c r="I122" s="2" t="s">
        <v>1345</v>
      </c>
      <c r="J122" s="2" t="s">
        <v>16</v>
      </c>
      <c r="K122" s="38">
        <v>50</v>
      </c>
      <c r="L122" s="2">
        <v>3.7</v>
      </c>
      <c r="M122" s="2" t="s">
        <v>1486</v>
      </c>
      <c r="N122" s="2" t="s">
        <v>1284</v>
      </c>
      <c r="O122" s="2" t="s">
        <v>1354</v>
      </c>
      <c r="P122" s="8" t="s">
        <v>1515</v>
      </c>
      <c r="Q122" s="2">
        <v>5</v>
      </c>
      <c r="R122" s="2" t="s">
        <v>1108</v>
      </c>
      <c r="S122" s="25" t="s">
        <v>1519</v>
      </c>
    </row>
    <row r="123" spans="1:19" ht="31" customHeight="1" x14ac:dyDescent="0.2">
      <c r="A123" s="2">
        <v>120</v>
      </c>
      <c r="B123" s="2" t="s">
        <v>1335</v>
      </c>
      <c r="C123" s="2" t="s">
        <v>205</v>
      </c>
      <c r="D123" s="2">
        <v>-163.97059999999999</v>
      </c>
      <c r="E123" s="2">
        <v>54.756599999999999</v>
      </c>
      <c r="F123" s="2" t="s">
        <v>267</v>
      </c>
      <c r="G123" s="2" t="s">
        <v>1102</v>
      </c>
      <c r="H123" s="2" t="s">
        <v>1110</v>
      </c>
      <c r="I123" s="2" t="s">
        <v>1345</v>
      </c>
      <c r="J123" s="2" t="s">
        <v>16</v>
      </c>
      <c r="K123" s="38">
        <v>50</v>
      </c>
      <c r="L123" s="2">
        <v>5.4</v>
      </c>
      <c r="M123" s="2" t="s">
        <v>1487</v>
      </c>
      <c r="N123" s="2" t="s">
        <v>1296</v>
      </c>
      <c r="O123" s="2" t="s">
        <v>207</v>
      </c>
      <c r="P123" s="8" t="s">
        <v>1515</v>
      </c>
      <c r="Q123" s="2">
        <v>1</v>
      </c>
      <c r="R123" s="2">
        <v>0</v>
      </c>
      <c r="S123" s="25" t="s">
        <v>1519</v>
      </c>
    </row>
    <row r="124" spans="1:19" ht="31" customHeight="1" x14ac:dyDescent="0.2">
      <c r="A124" s="2">
        <v>121</v>
      </c>
      <c r="B124" s="2" t="s">
        <v>1337</v>
      </c>
      <c r="C124" s="2" t="s">
        <v>1360</v>
      </c>
      <c r="D124" s="2">
        <v>-72.431250000000006</v>
      </c>
      <c r="E124" s="2">
        <v>-43.359900000000003</v>
      </c>
      <c r="F124" s="2" t="s">
        <v>267</v>
      </c>
      <c r="G124" s="2" t="s">
        <v>1216</v>
      </c>
      <c r="H124" s="2" t="s">
        <v>1215</v>
      </c>
      <c r="I124" s="2" t="s">
        <v>1345</v>
      </c>
      <c r="J124" s="2" t="s">
        <v>13</v>
      </c>
      <c r="K124" s="2">
        <v>100</v>
      </c>
      <c r="L124" s="2">
        <v>50.9</v>
      </c>
      <c r="M124" s="2" t="s">
        <v>1301</v>
      </c>
      <c r="N124" s="2" t="s">
        <v>1302</v>
      </c>
      <c r="O124" s="2" t="s">
        <v>1401</v>
      </c>
      <c r="P124" s="8" t="s">
        <v>1515</v>
      </c>
      <c r="Q124" s="2">
        <v>7</v>
      </c>
      <c r="R124" s="2" t="s">
        <v>1096</v>
      </c>
      <c r="S124" s="25" t="s">
        <v>1519</v>
      </c>
    </row>
    <row r="125" spans="1:19" s="36" customFormat="1" ht="31" customHeight="1" x14ac:dyDescent="0.2">
      <c r="A125" s="35"/>
      <c r="B125" s="35"/>
      <c r="C125" s="35"/>
      <c r="F125" s="8"/>
      <c r="G125" s="35"/>
      <c r="H125" s="35"/>
      <c r="I125" s="35"/>
      <c r="J125" s="35"/>
      <c r="K125" s="35"/>
      <c r="L125" s="35"/>
      <c r="O125" s="35"/>
      <c r="S125" s="37"/>
    </row>
    <row r="126" spans="1:19" s="25" customFormat="1" ht="31" customHeight="1" x14ac:dyDescent="0.2">
      <c r="C126" s="25" t="s">
        <v>1520</v>
      </c>
      <c r="F126" s="25" t="s">
        <v>1521</v>
      </c>
      <c r="L126" s="25" t="s">
        <v>1523</v>
      </c>
      <c r="S126" s="25" t="s">
        <v>1522</v>
      </c>
    </row>
    <row r="127" spans="1:19" s="2" customFormat="1" ht="31" customHeight="1" x14ac:dyDescent="0.2">
      <c r="C127" s="25" t="s">
        <v>1524</v>
      </c>
      <c r="R127" s="2" t="s">
        <v>1525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data-source</vt:lpstr>
      <vt:lpstr>Exotic Seismic Events Query2025</vt:lpstr>
      <vt:lpstr>ESEQ2025-02-23</vt:lpstr>
      <vt:lpstr>2025-02-24</vt:lpstr>
      <vt:lpstr>event-catalog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Malgorzata Chmiel</dc:creator>
  <cp:lastModifiedBy>Qi Zhou</cp:lastModifiedBy>
  <dcterms:created xsi:type="dcterms:W3CDTF">2020-07-08T20:42:06Z</dcterms:created>
  <dcterms:modified xsi:type="dcterms:W3CDTF">2025-05-14T07:17:45Z</dcterms:modified>
</cp:coreProperties>
</file>